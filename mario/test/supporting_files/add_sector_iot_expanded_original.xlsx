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test/supporting_files/"/>
    </mc:Choice>
  </mc:AlternateContent>
  <xr:revisionPtr revIDLastSave="0" documentId="13_ncr:1_{CBAE85A7-5445-DB4C-907E-0FB0E72EC07F}" xr6:coauthVersionLast="47" xr6:coauthVersionMax="47" xr10:uidLastSave="{00000000-0000-0000-0000-000000000000}"/>
  <bookViews>
    <workbookView xWindow="-51200" yWindow="600" windowWidth="51200" windowHeight="26880" activeTab="1" xr2:uid="{00000000-000D-0000-FFFF-FFFF00000000}"/>
  </bookViews>
  <sheets>
    <sheet name="flows" sheetId="1" r:id="rId1"/>
    <sheet name="coefficients" sheetId="2" r:id="rId2"/>
    <sheet name="uni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 a="1"/>
  <c r="P23" i="2" s="1"/>
  <c r="S14" i="2"/>
  <c r="S13" i="2"/>
  <c r="S12" i="2"/>
  <c r="S11" i="2"/>
  <c r="S10" i="2"/>
  <c r="S9" i="2"/>
  <c r="S8" i="2"/>
  <c r="S7" i="2"/>
  <c r="S6" i="2"/>
  <c r="S5" i="2"/>
  <c r="N14" i="2"/>
  <c r="L14" i="2"/>
  <c r="K11" i="2"/>
  <c r="J14" i="2"/>
  <c r="I9" i="2"/>
  <c r="I5" i="2"/>
  <c r="I6" i="2"/>
  <c r="F6" i="2"/>
  <c r="F5" i="2"/>
  <c r="E6" i="2"/>
  <c r="E5" i="2"/>
  <c r="W5" i="2" s="1" a="1"/>
  <c r="W5" i="2" s="1"/>
  <c r="E9" i="2"/>
  <c r="U5" i="2" l="1" a="1"/>
  <c r="U5" i="2" l="1"/>
  <c r="E23" i="2" a="1"/>
  <c r="E23" i="2" l="1"/>
  <c r="R23" i="2" s="1"/>
  <c r="R32" i="2"/>
  <c r="R31" i="2"/>
  <c r="R30" i="2"/>
  <c r="R27" i="2"/>
  <c r="R24" i="2"/>
  <c r="R29" i="2"/>
  <c r="R28" i="2"/>
  <c r="R26" i="2"/>
  <c r="R2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<sst xmlns="http://schemas.openxmlformats.org/spreadsheetml/2006/main" count="251" uniqueCount="34">
  <si>
    <t>Reg1</t>
  </si>
  <si>
    <t>Sector</t>
  </si>
  <si>
    <t>Agriculture</t>
  </si>
  <si>
    <t>Industry</t>
  </si>
  <si>
    <t>New industry</t>
  </si>
  <si>
    <t>New services</t>
  </si>
  <si>
    <t>Services</t>
  </si>
  <si>
    <t>Reg2</t>
  </si>
  <si>
    <t>-</t>
  </si>
  <si>
    <t>Factor of production</t>
  </si>
  <si>
    <t>Capital</t>
  </si>
  <si>
    <t>Taxes</t>
  </si>
  <si>
    <t>Wages</t>
  </si>
  <si>
    <t>Satellite account</t>
  </si>
  <si>
    <t>CO2</t>
  </si>
  <si>
    <t>Employment</t>
  </si>
  <si>
    <t>Consumption category</t>
  </si>
  <si>
    <t>Final demand</t>
  </si>
  <si>
    <t>unit</t>
  </si>
  <si>
    <t>M EUR</t>
  </si>
  <si>
    <t>1000 p</t>
  </si>
  <si>
    <t>kg</t>
  </si>
  <si>
    <t>Y_tot</t>
  </si>
  <si>
    <t>X</t>
  </si>
  <si>
    <t>w</t>
  </si>
  <si>
    <t>Z</t>
  </si>
  <si>
    <t>Y</t>
  </si>
  <si>
    <t>E</t>
  </si>
  <si>
    <t>V</t>
  </si>
  <si>
    <t>z</t>
  </si>
  <si>
    <t>v</t>
  </si>
  <si>
    <t>e</t>
  </si>
  <si>
    <t>VY</t>
  </si>
  <si>
    <t>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</si>
</sst>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\-0.0;\-"/>
    <numFmt numFmtId="165" formatCode="0.000;\-0.00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0" fontId="1" fillId="2" borderId="2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0" fillId="3" borderId="0" xfId="0" applyFill="1"/>
    <xf numFmtId="0" fontId="0" fillId="0" borderId="0" xfId="0" applyFill="1"/>
    <xf numFmtId="0" fontId="0" fillId="4" borderId="0" xfId="0" applyFill="1"/>
    <xf numFmtId="0" fontId="1" fillId="2" borderId="3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zoomScale="110" workbookViewId="0">
      <selection activeCell="D17" sqref="D17:M17"/>
    </sheetView>
  </sheetViews>
  <sheetFormatPr baseColWidth="10" defaultColWidth="8.83203125" defaultRowHeight="15" x14ac:dyDescent="0.2"/>
  <cols>
    <col min="1" max="1" width="6" bestFit="1" customWidth="1"/>
    <col min="2" max="2" width="18" bestFit="1" customWidth="1"/>
    <col min="3" max="3" width="12.33203125" bestFit="1" customWidth="1"/>
    <col min="4" max="5" width="15.6640625" bestFit="1" customWidth="1"/>
    <col min="6" max="6" width="12.33203125" bestFit="1" customWidth="1"/>
    <col min="7" max="7" width="12.1640625" bestFit="1" customWidth="1"/>
    <col min="8" max="8" width="16.83203125" bestFit="1" customWidth="1"/>
    <col min="9" max="10" width="13.6640625" bestFit="1" customWidth="1"/>
    <col min="11" max="11" width="12.33203125" bestFit="1" customWidth="1"/>
    <col min="12" max="12" width="12.1640625" bestFit="1" customWidth="1"/>
    <col min="13" max="13" width="14.6640625" bestFit="1" customWidth="1"/>
    <col min="14" max="15" width="19.6640625" bestFit="1" customWidth="1"/>
  </cols>
  <sheetData>
    <row r="1" spans="1:15" x14ac:dyDescent="0.2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0</v>
      </c>
      <c r="O1" s="1" t="s">
        <v>7</v>
      </c>
    </row>
    <row r="2" spans="1:15" x14ac:dyDescent="0.2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16</v>
      </c>
      <c r="O2" s="1" t="s">
        <v>16</v>
      </c>
    </row>
    <row r="3" spans="1:15" x14ac:dyDescent="0.2"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17</v>
      </c>
      <c r="O3" s="1" t="s">
        <v>17</v>
      </c>
    </row>
    <row r="4" spans="1:15" x14ac:dyDescent="0.2">
      <c r="A4" s="1" t="s">
        <v>0</v>
      </c>
      <c r="B4" s="1" t="s">
        <v>1</v>
      </c>
      <c r="C4" s="1" t="s">
        <v>2</v>
      </c>
      <c r="D4" s="2">
        <v>930893.46706140065</v>
      </c>
      <c r="E4" s="2">
        <v>5357885.3100325037</v>
      </c>
      <c r="F4" s="2">
        <v>0.1999031399411183</v>
      </c>
      <c r="G4" s="2">
        <v>149.92149812133681</v>
      </c>
      <c r="H4" s="2">
        <v>1075285.054154427</v>
      </c>
      <c r="I4" s="2">
        <v>2363.6329509619609</v>
      </c>
      <c r="J4" s="2">
        <v>50638.381594484898</v>
      </c>
      <c r="K4" s="2">
        <v>0.1245840225162165</v>
      </c>
      <c r="L4" s="2">
        <v>0</v>
      </c>
      <c r="M4" s="2">
        <v>10343.099743882471</v>
      </c>
      <c r="N4" s="2">
        <v>2533458.568621377</v>
      </c>
      <c r="O4" s="2">
        <v>11455.344814628779</v>
      </c>
    </row>
    <row r="5" spans="1:15" x14ac:dyDescent="0.2">
      <c r="A5" s="1" t="s">
        <v>0</v>
      </c>
      <c r="B5" s="1" t="s">
        <v>1</v>
      </c>
      <c r="C5" s="1" t="s">
        <v>3</v>
      </c>
      <c r="D5" s="2">
        <v>1122430.7286161</v>
      </c>
      <c r="E5" s="2">
        <v>22893209.39742681</v>
      </c>
      <c r="F5" s="2">
        <v>0.25</v>
      </c>
      <c r="G5" s="2">
        <v>300</v>
      </c>
      <c r="H5" s="2">
        <v>10651022.008415431</v>
      </c>
      <c r="I5" s="2">
        <v>1414.058208520896</v>
      </c>
      <c r="J5" s="2">
        <v>134992.16388786069</v>
      </c>
      <c r="K5" s="2">
        <v>0.25</v>
      </c>
      <c r="L5" s="2">
        <v>0</v>
      </c>
      <c r="M5" s="2">
        <v>30370.685240562529</v>
      </c>
      <c r="N5" s="2">
        <v>18160868.991861291</v>
      </c>
      <c r="O5" s="2">
        <v>121750.6625725599</v>
      </c>
    </row>
    <row r="6" spans="1:15" x14ac:dyDescent="0.2">
      <c r="A6" s="1" t="s">
        <v>0</v>
      </c>
      <c r="B6" s="1" t="s">
        <v>1</v>
      </c>
      <c r="C6" s="1" t="s">
        <v>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</row>
    <row r="7" spans="1:15" x14ac:dyDescent="0.2">
      <c r="A7" s="1" t="s">
        <v>0</v>
      </c>
      <c r="B7" s="1" t="s">
        <v>1</v>
      </c>
      <c r="C7" s="1" t="s">
        <v>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1500</v>
      </c>
      <c r="O7" s="2">
        <v>0</v>
      </c>
    </row>
    <row r="8" spans="1:15" x14ac:dyDescent="0.2">
      <c r="A8" s="1" t="s">
        <v>0</v>
      </c>
      <c r="B8" s="1" t="s">
        <v>1</v>
      </c>
      <c r="C8" s="1" t="s">
        <v>6</v>
      </c>
      <c r="D8" s="2">
        <v>1893643.519515947</v>
      </c>
      <c r="E8" s="2">
        <v>9737665.6825433057</v>
      </c>
      <c r="F8" s="2">
        <v>0.399362232731578</v>
      </c>
      <c r="G8" s="2">
        <v>224.70426620055611</v>
      </c>
      <c r="H8" s="2">
        <v>30598044.17399618</v>
      </c>
      <c r="I8" s="2">
        <v>1302.0575977228609</v>
      </c>
      <c r="J8" s="2">
        <v>27830.660972508329</v>
      </c>
      <c r="K8" s="2">
        <v>3.2705867381631892E-2</v>
      </c>
      <c r="L8" s="2">
        <v>0</v>
      </c>
      <c r="M8" s="2">
        <v>58532.082492717404</v>
      </c>
      <c r="N8" s="2">
        <v>62125706.284935012</v>
      </c>
      <c r="O8" s="2">
        <v>52869.74778356473</v>
      </c>
    </row>
    <row r="9" spans="1:15" x14ac:dyDescent="0.2">
      <c r="A9" s="1" t="s">
        <v>7</v>
      </c>
      <c r="B9" s="1" t="s">
        <v>1</v>
      </c>
      <c r="C9" s="1" t="s">
        <v>2</v>
      </c>
      <c r="D9" s="2">
        <v>416.87142865266691</v>
      </c>
      <c r="E9" s="2">
        <v>2596.0827166794679</v>
      </c>
      <c r="F9" s="2">
        <v>9.6860058881690774E-5</v>
      </c>
      <c r="G9" s="2">
        <v>7.8501878663240182E-2</v>
      </c>
      <c r="H9" s="2">
        <v>843.01239449094226</v>
      </c>
      <c r="I9" s="2">
        <v>2963.314230904035</v>
      </c>
      <c r="J9" s="2">
        <v>30653.553874838319</v>
      </c>
      <c r="K9" s="2">
        <v>7.5415977483783536E-2</v>
      </c>
      <c r="L9" s="2">
        <v>0</v>
      </c>
      <c r="M9" s="2">
        <v>7962.5551110257729</v>
      </c>
      <c r="N9" s="2">
        <v>5077.8045276832536</v>
      </c>
      <c r="O9" s="2">
        <v>29356.699998719741</v>
      </c>
    </row>
    <row r="10" spans="1:15" x14ac:dyDescent="0.2">
      <c r="A10" s="1" t="s">
        <v>7</v>
      </c>
      <c r="B10" s="1" t="s">
        <v>1</v>
      </c>
      <c r="C10" s="1" t="s">
        <v>3</v>
      </c>
      <c r="D10" s="2">
        <v>6891.1968070707289</v>
      </c>
      <c r="E10" s="2">
        <v>133521.47163403971</v>
      </c>
      <c r="F10" s="2">
        <v>0.05</v>
      </c>
      <c r="G10" s="2">
        <v>525</v>
      </c>
      <c r="H10" s="2">
        <v>65558.702793268763</v>
      </c>
      <c r="I10" s="2">
        <v>9739.4183106697765</v>
      </c>
      <c r="J10" s="2">
        <v>287474.24620725121</v>
      </c>
      <c r="K10" s="2">
        <v>0.05</v>
      </c>
      <c r="L10" s="2">
        <v>0</v>
      </c>
      <c r="M10" s="2">
        <v>161145.38161474181</v>
      </c>
      <c r="N10" s="2">
        <v>231650.9630397502</v>
      </c>
      <c r="O10" s="2">
        <v>299898.91113128111</v>
      </c>
    </row>
    <row r="11" spans="1:15" x14ac:dyDescent="0.2">
      <c r="A11" s="1" t="s">
        <v>7</v>
      </c>
      <c r="B11" s="1" t="s">
        <v>1</v>
      </c>
      <c r="C11" s="1" t="s">
        <v>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</row>
    <row r="12" spans="1:15" x14ac:dyDescent="0.2">
      <c r="A12" s="1" t="s">
        <v>7</v>
      </c>
      <c r="B12" s="1" t="s">
        <v>1</v>
      </c>
      <c r="C12" s="1" t="s">
        <v>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">
      <c r="A13" s="1" t="s">
        <v>7</v>
      </c>
      <c r="B13" s="1" t="s">
        <v>1</v>
      </c>
      <c r="C13" s="1" t="s">
        <v>6</v>
      </c>
      <c r="D13" s="2">
        <v>1590.1383246173989</v>
      </c>
      <c r="E13" s="2">
        <v>15550.70543522325</v>
      </c>
      <c r="F13" s="2">
        <v>6.3776726842195352E-4</v>
      </c>
      <c r="G13" s="2">
        <v>0.29573379944386807</v>
      </c>
      <c r="H13" s="2">
        <v>38437.310004224302</v>
      </c>
      <c r="I13" s="2">
        <v>16684.5945533175</v>
      </c>
      <c r="J13" s="2">
        <v>312544.48514746228</v>
      </c>
      <c r="K13" s="2">
        <v>0.36729413261836819</v>
      </c>
      <c r="L13" s="2">
        <v>0</v>
      </c>
      <c r="M13" s="2">
        <v>722171.6861642414</v>
      </c>
      <c r="N13" s="2">
        <v>56954.545568245849</v>
      </c>
      <c r="O13" s="2">
        <v>1255004.9092617889</v>
      </c>
    </row>
    <row r="14" spans="1:15" x14ac:dyDescent="0.2">
      <c r="A14" s="1" t="s">
        <v>8</v>
      </c>
      <c r="B14" s="1" t="s">
        <v>9</v>
      </c>
      <c r="C14" s="1" t="s">
        <v>10</v>
      </c>
      <c r="D14" s="2">
        <v>2887967.9456999861</v>
      </c>
      <c r="E14" s="2">
        <v>5616731.1604864188</v>
      </c>
      <c r="F14" s="2">
        <v>0.04</v>
      </c>
      <c r="G14" s="2">
        <v>120</v>
      </c>
      <c r="H14" s="2">
        <v>23660978.415815439</v>
      </c>
      <c r="I14" s="2">
        <v>30791.934752880661</v>
      </c>
      <c r="J14" s="2">
        <v>102010.834116217</v>
      </c>
      <c r="K14" s="2">
        <v>0.04</v>
      </c>
      <c r="L14" s="2">
        <v>0</v>
      </c>
      <c r="M14" s="2">
        <v>529978.73541905428</v>
      </c>
      <c r="N14" s="2">
        <v>0</v>
      </c>
      <c r="O14" s="2">
        <v>0</v>
      </c>
    </row>
    <row r="15" spans="1:15" x14ac:dyDescent="0.2">
      <c r="A15" s="1" t="s">
        <v>8</v>
      </c>
      <c r="B15" s="1" t="s">
        <v>9</v>
      </c>
      <c r="C15" s="1" t="s">
        <v>11</v>
      </c>
      <c r="D15" s="2">
        <v>551736.68925023894</v>
      </c>
      <c r="E15" s="2">
        <v>3047144.635732857</v>
      </c>
      <c r="F15" s="2">
        <v>0.02</v>
      </c>
      <c r="G15" s="2">
        <v>75</v>
      </c>
      <c r="H15" s="2">
        <v>5010724.0384878982</v>
      </c>
      <c r="I15" s="2">
        <v>4909.6685515507324</v>
      </c>
      <c r="J15" s="2">
        <v>36874.746359512334</v>
      </c>
      <c r="K15" s="2">
        <v>0.02</v>
      </c>
      <c r="L15" s="2">
        <v>0</v>
      </c>
      <c r="M15" s="2">
        <v>143835.23090421519</v>
      </c>
      <c r="N15" s="2">
        <v>0</v>
      </c>
      <c r="O15" s="2">
        <v>0</v>
      </c>
    </row>
    <row r="16" spans="1:15" x14ac:dyDescent="0.2">
      <c r="A16" s="1" t="s">
        <v>8</v>
      </c>
      <c r="B16" s="1" t="s">
        <v>9</v>
      </c>
      <c r="C16" s="1" t="s">
        <v>12</v>
      </c>
      <c r="D16" s="2">
        <v>2576902.5498695988</v>
      </c>
      <c r="E16" s="2">
        <v>6312054.7448050166</v>
      </c>
      <c r="F16" s="2">
        <v>0.04</v>
      </c>
      <c r="G16" s="2">
        <v>105</v>
      </c>
      <c r="H16" s="2">
        <v>33394926.634512179</v>
      </c>
      <c r="I16" s="2">
        <v>9701.3691906621134</v>
      </c>
      <c r="J16" s="2">
        <v>213386.31888995261</v>
      </c>
      <c r="K16" s="2">
        <v>0.04</v>
      </c>
      <c r="L16" s="2">
        <v>0</v>
      </c>
      <c r="M16" s="2">
        <v>754599.58153816068</v>
      </c>
      <c r="N16" s="2">
        <v>0</v>
      </c>
      <c r="O16" s="2">
        <v>0</v>
      </c>
    </row>
    <row r="17" spans="1:15" x14ac:dyDescent="0.2">
      <c r="A17" s="1" t="s">
        <v>8</v>
      </c>
      <c r="B17" s="1" t="s">
        <v>13</v>
      </c>
      <c r="C17" s="1" t="s">
        <v>14</v>
      </c>
      <c r="D17" s="2">
        <v>3416093301530.6191</v>
      </c>
      <c r="E17" s="2">
        <v>8884770379610.0742</v>
      </c>
      <c r="F17" s="2">
        <v>167269.94308451819</v>
      </c>
      <c r="G17" s="2">
        <v>0</v>
      </c>
      <c r="H17" s="2">
        <v>18787490410551.699</v>
      </c>
      <c r="I17" s="2">
        <v>23159316179.376419</v>
      </c>
      <c r="J17" s="2">
        <v>48424386584.372559</v>
      </c>
      <c r="K17" s="2">
        <v>40474.89833033867</v>
      </c>
      <c r="L17" s="2">
        <v>0</v>
      </c>
      <c r="M17" s="2">
        <v>167951277579.11179</v>
      </c>
      <c r="N17" s="2">
        <v>5296525995824.2637</v>
      </c>
      <c r="O17" s="2">
        <v>69021047159.929993</v>
      </c>
    </row>
    <row r="18" spans="1:15" x14ac:dyDescent="0.2">
      <c r="A18" s="1" t="s">
        <v>8</v>
      </c>
      <c r="B18" s="1" t="s">
        <v>13</v>
      </c>
      <c r="C18" s="1" t="s">
        <v>15</v>
      </c>
      <c r="D18" s="2">
        <v>1702640.255967947</v>
      </c>
      <c r="E18" s="2">
        <v>654781.87230245536</v>
      </c>
      <c r="F18" s="2">
        <v>1.2327310873915091E-2</v>
      </c>
      <c r="G18" s="2">
        <v>0</v>
      </c>
      <c r="H18" s="2">
        <v>2050346.5349556941</v>
      </c>
      <c r="I18" s="2">
        <v>739.51118450641832</v>
      </c>
      <c r="J18" s="2">
        <v>3942.0133080049432</v>
      </c>
      <c r="K18" s="2">
        <v>3.2948809290613218E-3</v>
      </c>
      <c r="L18" s="2">
        <v>0</v>
      </c>
      <c r="M18" s="2">
        <v>18526.616976109661</v>
      </c>
      <c r="N18" s="2">
        <v>0</v>
      </c>
      <c r="O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7"/>
  <sheetViews>
    <sheetView tabSelected="1" zoomScale="217" workbookViewId="0">
      <pane xSplit="3" ySplit="3" topLeftCell="F6" activePane="bottomRight" state="frozen"/>
      <selection pane="topRight" activeCell="D1" sqref="D1"/>
      <selection pane="bottomLeft" activeCell="A4" sqref="A4"/>
      <selection pane="bottomRight" activeCell="O21" sqref="O21"/>
    </sheetView>
  </sheetViews>
  <sheetFormatPr baseColWidth="10" defaultColWidth="8.83203125" defaultRowHeight="15" x14ac:dyDescent="0.2"/>
  <cols>
    <col min="1" max="1" width="6" bestFit="1" customWidth="1"/>
    <col min="2" max="2" width="18" bestFit="1" customWidth="1"/>
    <col min="3" max="3" width="12.33203125" bestFit="1" customWidth="1"/>
    <col min="4" max="4" width="12.33203125" customWidth="1"/>
    <col min="5" max="5" width="11.1640625" bestFit="1" customWidth="1"/>
    <col min="6" max="6" width="10.83203125" bestFit="1" customWidth="1"/>
    <col min="7" max="7" width="12.5" bestFit="1" customWidth="1"/>
    <col min="8" max="8" width="12.33203125" bestFit="1" customWidth="1"/>
    <col min="9" max="9" width="10.83203125" bestFit="1" customWidth="1"/>
    <col min="10" max="10" width="11.1640625" bestFit="1" customWidth="1"/>
    <col min="11" max="11" width="9.83203125" bestFit="1" customWidth="1"/>
    <col min="12" max="12" width="12.5" bestFit="1" customWidth="1"/>
    <col min="13" max="13" width="12.33203125" bestFit="1" customWidth="1"/>
    <col min="14" max="14" width="9.83203125" bestFit="1" customWidth="1"/>
    <col min="15" max="15" width="9.83203125" customWidth="1"/>
    <col min="16" max="17" width="19.83203125" bestFit="1" customWidth="1"/>
    <col min="19" max="19" width="12.6640625" bestFit="1" customWidth="1"/>
    <col min="21" max="21" width="12.1640625" bestFit="1" customWidth="1"/>
  </cols>
  <sheetData>
    <row r="1" spans="1:32" x14ac:dyDescent="0.2"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3"/>
      <c r="P1" s="1" t="s">
        <v>0</v>
      </c>
      <c r="Q1" s="1" t="s">
        <v>7</v>
      </c>
    </row>
    <row r="2" spans="1:32" x14ac:dyDescent="0.2"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3"/>
      <c r="P2" s="1" t="s">
        <v>16</v>
      </c>
      <c r="Q2" s="1" t="s">
        <v>16</v>
      </c>
    </row>
    <row r="3" spans="1:32" x14ac:dyDescent="0.2"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  <c r="O3" s="3"/>
      <c r="P3" s="1" t="s">
        <v>17</v>
      </c>
      <c r="Q3" s="1" t="s">
        <v>17</v>
      </c>
    </row>
    <row r="4" spans="1:32" x14ac:dyDescent="0.2">
      <c r="O4" s="3"/>
      <c r="S4" s="4" t="s">
        <v>22</v>
      </c>
      <c r="U4" s="5" t="s">
        <v>23</v>
      </c>
      <c r="W4" s="5" t="s">
        <v>24</v>
      </c>
    </row>
    <row r="5" spans="1:32" x14ac:dyDescent="0.2">
      <c r="A5" s="1" t="s">
        <v>0</v>
      </c>
      <c r="B5" s="1" t="s">
        <v>1</v>
      </c>
      <c r="C5" s="1" t="s">
        <v>2</v>
      </c>
      <c r="D5" s="9" t="s">
        <v>29</v>
      </c>
      <c r="E5" s="3">
        <f>0.0933463000866356-0.01</f>
        <v>8.33463000866356E-2</v>
      </c>
      <c r="F5" s="3">
        <f>0.100870718383365-0.04</f>
        <v>6.0870718383365004E-2</v>
      </c>
      <c r="G5" s="3">
        <v>0.1999031399411183</v>
      </c>
      <c r="H5" s="3">
        <v>9.9947665414224507E-2</v>
      </c>
      <c r="I5" s="3">
        <f>0.0102902208038797-0.003</f>
        <v>7.2902208038796998E-3</v>
      </c>
      <c r="J5" s="3">
        <v>2.959348343138184E-2</v>
      </c>
      <c r="K5" s="3">
        <v>4.2325437475156533E-2</v>
      </c>
      <c r="L5" s="3">
        <v>0.1245840225162165</v>
      </c>
      <c r="M5" s="3">
        <v>0</v>
      </c>
      <c r="N5" s="3">
        <v>4.2758827654873497E-3</v>
      </c>
      <c r="O5" s="9" t="s">
        <v>26</v>
      </c>
      <c r="P5" s="3">
        <v>2533458.568621377</v>
      </c>
      <c r="Q5" s="3">
        <v>11455.344814628779</v>
      </c>
      <c r="S5" s="3">
        <f>SUM(P5:Q5)</f>
        <v>2544913.9134360058</v>
      </c>
      <c r="U5" cm="1">
        <f t="array" ref="U5:U14">MMULT(_xlfn.ANCHORARRAY(W5),S5:S14)</f>
        <v>9721153.6351715047</v>
      </c>
      <c r="W5" cm="1">
        <f t="array" ref="W5:AF14">MINVERSE(_xlfn.MUNIT(10)-E5:N14)</f>
        <v>1.1373364718179173</v>
      </c>
      <c r="X5">
        <v>0.16184311156332276</v>
      </c>
      <c r="Y5">
        <v>0.29728353422991705</v>
      </c>
      <c r="Z5">
        <v>0.19175075402486846</v>
      </c>
      <c r="AA5">
        <v>6.0618748307542415E-2</v>
      </c>
      <c r="AB5">
        <v>6.1096736419806986E-2</v>
      </c>
      <c r="AC5">
        <v>0.10462241020540075</v>
      </c>
      <c r="AD5">
        <v>0.21360470749736965</v>
      </c>
      <c r="AE5">
        <v>0</v>
      </c>
      <c r="AF5">
        <v>3.0963395047765154E-2</v>
      </c>
    </row>
    <row r="6" spans="1:32" x14ac:dyDescent="0.2">
      <c r="A6" s="1" t="s">
        <v>0</v>
      </c>
      <c r="B6" s="1" t="s">
        <v>1</v>
      </c>
      <c r="C6" s="1" t="s">
        <v>3</v>
      </c>
      <c r="E6" s="3">
        <f>0.112552896037188-0.039</f>
        <v>7.3552896037188009E-2</v>
      </c>
      <c r="F6" s="3">
        <f>0.431001102934255</f>
        <v>0.43100110293425498</v>
      </c>
      <c r="G6" s="3">
        <v>0.25</v>
      </c>
      <c r="H6" s="3">
        <v>0.2</v>
      </c>
      <c r="I6" s="3">
        <f>0.101927733329991-0.05</f>
        <v>5.1927733329990997E-2</v>
      </c>
      <c r="J6" s="3">
        <v>1.7704486708835909E-2</v>
      </c>
      <c r="K6" s="3">
        <v>0.1128314573326334</v>
      </c>
      <c r="L6" s="3">
        <v>0.25</v>
      </c>
      <c r="M6" s="3">
        <v>0</v>
      </c>
      <c r="N6" s="3">
        <v>1.2555374385997801E-2</v>
      </c>
      <c r="O6" s="3"/>
      <c r="P6" s="3">
        <v>18160868.991861291</v>
      </c>
      <c r="Q6" s="3">
        <v>121750.6625725599</v>
      </c>
      <c r="S6" s="3">
        <f t="shared" ref="S6:S14" si="0">SUM(P6:Q6)</f>
        <v>18282619.65443385</v>
      </c>
      <c r="U6">
        <v>49473082.919378899</v>
      </c>
      <c r="W6">
        <v>0.24114131275645712</v>
      </c>
      <c r="X6">
        <v>1.9002605652477325</v>
      </c>
      <c r="Y6">
        <v>0.62925144232572028</v>
      </c>
      <c r="Z6">
        <v>0.55821304432331331</v>
      </c>
      <c r="AA6">
        <v>0.22199012813694174</v>
      </c>
      <c r="AB6">
        <v>0.11638752804349502</v>
      </c>
      <c r="AC6">
        <v>0.34508453922734561</v>
      </c>
      <c r="AD6">
        <v>0.59029411433352941</v>
      </c>
      <c r="AE6">
        <v>0</v>
      </c>
      <c r="AF6">
        <v>9.6307769251643499E-2</v>
      </c>
    </row>
    <row r="7" spans="1:32" x14ac:dyDescent="0.2">
      <c r="A7" s="1" t="s">
        <v>0</v>
      </c>
      <c r="B7" s="1" t="s">
        <v>1</v>
      </c>
      <c r="C7" s="1" t="s">
        <v>4</v>
      </c>
      <c r="E7" s="3">
        <v>6.6000000000000003E-2</v>
      </c>
      <c r="F7" s="3">
        <v>3.5000000000000003E-2</v>
      </c>
      <c r="G7" s="3">
        <v>0</v>
      </c>
      <c r="H7" s="3">
        <v>0</v>
      </c>
      <c r="I7" s="3">
        <v>7.0000000000000007E-2</v>
      </c>
      <c r="J7" s="3">
        <v>1E-3</v>
      </c>
      <c r="K7" s="3">
        <v>2E-3</v>
      </c>
      <c r="L7" s="3">
        <v>3.1E-2</v>
      </c>
      <c r="M7" s="3">
        <v>0</v>
      </c>
      <c r="N7" s="3">
        <v>1.4999999999999999E-2</v>
      </c>
      <c r="O7" s="3"/>
      <c r="P7" s="3">
        <v>1</v>
      </c>
      <c r="Q7" s="3">
        <v>0</v>
      </c>
      <c r="S7" s="3">
        <f t="shared" si="0"/>
        <v>1</v>
      </c>
      <c r="U7">
        <v>9508137.2173480205</v>
      </c>
      <c r="W7">
        <v>0.10975066960451992</v>
      </c>
      <c r="X7">
        <v>0.11676206676979022</v>
      </c>
      <c r="Y7">
        <v>1.0984429240811062</v>
      </c>
      <c r="Z7">
        <v>6.6446349247922254E-2</v>
      </c>
      <c r="AA7">
        <v>0.11297582080404818</v>
      </c>
      <c r="AB7">
        <v>2.219649993435717E-2</v>
      </c>
      <c r="AC7">
        <v>4.3407183126387028E-2</v>
      </c>
      <c r="AD7">
        <v>9.611793906154828E-2</v>
      </c>
      <c r="AE7">
        <v>0</v>
      </c>
      <c r="AF7">
        <v>3.4681573628603364E-2</v>
      </c>
    </row>
    <row r="8" spans="1:32" x14ac:dyDescent="0.2">
      <c r="A8" s="1" t="s">
        <v>0</v>
      </c>
      <c r="B8" s="1" t="s">
        <v>1</v>
      </c>
      <c r="C8" s="1" t="s">
        <v>5</v>
      </c>
      <c r="E8" s="3">
        <v>0</v>
      </c>
      <c r="F8" s="3">
        <v>0</v>
      </c>
      <c r="G8" s="3">
        <v>0</v>
      </c>
      <c r="H8" s="3">
        <v>0</v>
      </c>
      <c r="I8" s="3">
        <v>0.04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1500</v>
      </c>
      <c r="Q8" s="3">
        <v>0</v>
      </c>
      <c r="S8" s="3">
        <f t="shared" si="0"/>
        <v>1500</v>
      </c>
      <c r="U8">
        <v>4022294.3944104202</v>
      </c>
      <c r="W8">
        <v>1.4751198601210472E-2</v>
      </c>
      <c r="X8">
        <v>2.2167926261732224E-2</v>
      </c>
      <c r="Y8">
        <v>3.1789940841108859E-2</v>
      </c>
      <c r="Z8">
        <v>1.0171344596403094</v>
      </c>
      <c r="AA8">
        <v>5.7393692580015448E-2</v>
      </c>
      <c r="AB8">
        <v>3.7520955840130987E-3</v>
      </c>
      <c r="AC8">
        <v>7.5080457923714893E-3</v>
      </c>
      <c r="AD8">
        <v>1.2223932368754258E-2</v>
      </c>
      <c r="AE8">
        <v>0</v>
      </c>
      <c r="AF8">
        <v>3.9347050883888051E-3</v>
      </c>
    </row>
    <row r="9" spans="1:32" x14ac:dyDescent="0.2">
      <c r="A9" s="1" t="s">
        <v>0</v>
      </c>
      <c r="B9" s="1" t="s">
        <v>1</v>
      </c>
      <c r="C9" s="1" t="s">
        <v>6</v>
      </c>
      <c r="E9" s="3">
        <f>0.189887052046729-0.02</f>
        <v>0.16988705204672902</v>
      </c>
      <c r="F9" s="3">
        <v>0.18332705460043289</v>
      </c>
      <c r="G9" s="3">
        <v>0.399362232731578</v>
      </c>
      <c r="H9" s="3">
        <v>0.14980284413370409</v>
      </c>
      <c r="I9" s="3">
        <f>0.292815964939532-0.064</f>
        <v>0.22881596493953199</v>
      </c>
      <c r="J9" s="3">
        <v>1.630220120650893E-2</v>
      </c>
      <c r="K9" s="3">
        <v>2.326189865855571E-2</v>
      </c>
      <c r="L9" s="3">
        <v>3.2705867381631892E-2</v>
      </c>
      <c r="M9" s="3">
        <v>0</v>
      </c>
      <c r="N9" s="3">
        <v>2.419741943479977E-2</v>
      </c>
      <c r="O9" s="3"/>
      <c r="P9" s="3">
        <v>62125706.284935012</v>
      </c>
      <c r="Q9" s="3">
        <v>52869.74778356473</v>
      </c>
      <c r="S9" s="3">
        <f t="shared" si="0"/>
        <v>62178576.032718576</v>
      </c>
      <c r="U9">
        <v>100519859.8602605</v>
      </c>
      <c r="W9">
        <v>0.36877996503026178</v>
      </c>
      <c r="X9">
        <v>0.55419815654330562</v>
      </c>
      <c r="Y9">
        <v>0.79474852102772153</v>
      </c>
      <c r="Z9">
        <v>0.42836149100773263</v>
      </c>
      <c r="AA9">
        <v>1.4348423145003861</v>
      </c>
      <c r="AB9">
        <v>9.3802389600327468E-2</v>
      </c>
      <c r="AC9">
        <v>0.18770114480928723</v>
      </c>
      <c r="AD9">
        <v>0.30559830921885645</v>
      </c>
      <c r="AE9">
        <v>0</v>
      </c>
      <c r="AF9">
        <v>9.8367627209720115E-2</v>
      </c>
    </row>
    <row r="10" spans="1:32" x14ac:dyDescent="0.2">
      <c r="A10" s="1" t="s">
        <v>7</v>
      </c>
      <c r="B10" s="1" t="s">
        <v>1</v>
      </c>
      <c r="C10" s="1" t="s">
        <v>2</v>
      </c>
      <c r="E10" s="3">
        <v>4.180221137376363E-5</v>
      </c>
      <c r="F10" s="3">
        <v>0</v>
      </c>
      <c r="G10" s="3">
        <v>9.6860058881690774E-5</v>
      </c>
      <c r="H10" s="3">
        <v>5.233458577549345E-5</v>
      </c>
      <c r="I10" s="3">
        <v>8.0674270010576296E-6</v>
      </c>
      <c r="J10" s="3">
        <v>3.7101695742795517E-2</v>
      </c>
      <c r="K10" s="3">
        <v>2.56213772452419E-2</v>
      </c>
      <c r="L10" s="3">
        <v>7.5415977483783536E-2</v>
      </c>
      <c r="M10" s="3">
        <v>0</v>
      </c>
      <c r="N10" s="3">
        <v>3.2917551808988141E-3</v>
      </c>
      <c r="O10" s="3"/>
      <c r="P10" s="3">
        <v>5077.8045276832536</v>
      </c>
      <c r="Q10" s="3">
        <v>29356.699998719741</v>
      </c>
      <c r="S10" s="3">
        <f t="shared" si="0"/>
        <v>34434.504526402998</v>
      </c>
      <c r="U10">
        <v>237127.23473776749</v>
      </c>
      <c r="W10">
        <v>1.1588352435210748E-3</v>
      </c>
      <c r="X10">
        <v>1.9423427899556498E-3</v>
      </c>
      <c r="Y10">
        <v>3.6458710829345591E-3</v>
      </c>
      <c r="Z10">
        <v>1.4848123128027316E-2</v>
      </c>
      <c r="AA10">
        <v>2.0633929964822598E-3</v>
      </c>
      <c r="AB10">
        <v>1.046631183357623</v>
      </c>
      <c r="AC10">
        <v>3.9937112535657307E-2</v>
      </c>
      <c r="AD10">
        <v>8.5092055459978666E-2</v>
      </c>
      <c r="AE10">
        <v>0</v>
      </c>
      <c r="AF10">
        <v>9.9675273378767824E-3</v>
      </c>
    </row>
    <row r="11" spans="1:32" x14ac:dyDescent="0.2">
      <c r="A11" s="1" t="s">
        <v>7</v>
      </c>
      <c r="B11" s="1" t="s">
        <v>1</v>
      </c>
      <c r="C11" s="1" t="s">
        <v>3</v>
      </c>
      <c r="E11" s="3">
        <v>6.9102184929874483E-4</v>
      </c>
      <c r="F11" s="3">
        <v>2.513754211593605E-3</v>
      </c>
      <c r="G11" s="3">
        <v>0.05</v>
      </c>
      <c r="H11" s="3">
        <v>0.35</v>
      </c>
      <c r="I11" s="3">
        <v>6.2738110676071603E-4</v>
      </c>
      <c r="J11" s="3">
        <v>0.1219408090798534</v>
      </c>
      <c r="K11" s="3">
        <f>0.240281637177914-0.017</f>
        <v>0.22328163717791399</v>
      </c>
      <c r="L11" s="3">
        <v>0.05</v>
      </c>
      <c r="M11" s="3">
        <v>0</v>
      </c>
      <c r="N11" s="3">
        <v>6.6618207021729214E-2</v>
      </c>
      <c r="O11" s="3"/>
      <c r="P11" s="3">
        <v>231650.9630397502</v>
      </c>
      <c r="Q11" s="3">
        <v>299898.91113128111</v>
      </c>
      <c r="S11" s="3">
        <f t="shared" si="0"/>
        <v>531549.87417103129</v>
      </c>
      <c r="U11">
        <v>3792630.0946474881</v>
      </c>
      <c r="W11">
        <v>1.7390482165877852E-2</v>
      </c>
      <c r="X11">
        <v>2.7039282047985648E-2</v>
      </c>
      <c r="Y11">
        <v>9.2834422192771784E-2</v>
      </c>
      <c r="Z11">
        <v>0.48424116217011093</v>
      </c>
      <c r="AA11">
        <v>3.7952249599522724E-2</v>
      </c>
      <c r="AB11">
        <v>0.20051213588059472</v>
      </c>
      <c r="AC11">
        <v>1.3467819079925447</v>
      </c>
      <c r="AD11">
        <v>0.13926042291537555</v>
      </c>
      <c r="AE11">
        <v>0</v>
      </c>
      <c r="AF11">
        <v>0.13010629530273193</v>
      </c>
    </row>
    <row r="12" spans="1:32" x14ac:dyDescent="0.2">
      <c r="A12" s="1" t="s">
        <v>7</v>
      </c>
      <c r="B12" s="1" t="s">
        <v>1</v>
      </c>
      <c r="C12" s="1" t="s">
        <v>4</v>
      </c>
      <c r="E12" s="3">
        <v>3.0000000000000001E-3</v>
      </c>
      <c r="F12" s="3">
        <v>5.0000000000000001E-3</v>
      </c>
      <c r="G12" s="3">
        <v>0</v>
      </c>
      <c r="H12" s="3">
        <v>0</v>
      </c>
      <c r="I12" s="3">
        <v>7.0000000000000001E-3</v>
      </c>
      <c r="J12" s="3">
        <v>0.01</v>
      </c>
      <c r="K12" s="3">
        <v>1.4999999999999999E-2</v>
      </c>
      <c r="L12" s="3">
        <v>0</v>
      </c>
      <c r="M12" s="3">
        <v>0</v>
      </c>
      <c r="N12" s="3">
        <v>1.2E-2</v>
      </c>
      <c r="O12" s="3"/>
      <c r="P12" s="3">
        <v>0</v>
      </c>
      <c r="Q12" s="3">
        <v>1</v>
      </c>
      <c r="S12" s="3">
        <f t="shared" si="0"/>
        <v>1</v>
      </c>
      <c r="U12">
        <v>1085133.9738253895</v>
      </c>
      <c r="W12">
        <v>7.5999264758640607E-3</v>
      </c>
      <c r="X12">
        <v>1.4508547737870305E-2</v>
      </c>
      <c r="Y12">
        <v>1.152584097163486E-2</v>
      </c>
      <c r="Z12">
        <v>1.6007721579763452E-2</v>
      </c>
      <c r="AA12">
        <v>1.2174414500444574E-2</v>
      </c>
      <c r="AB12">
        <v>1.9279100064454546E-2</v>
      </c>
      <c r="AC12">
        <v>3.0050301500219357E-2</v>
      </c>
      <c r="AD12">
        <v>1.0151782705032908</v>
      </c>
      <c r="AE12">
        <v>0</v>
      </c>
      <c r="AF12">
        <v>2.0495038067920551E-2</v>
      </c>
    </row>
    <row r="13" spans="1:32" x14ac:dyDescent="0.2">
      <c r="A13" s="1" t="s">
        <v>7</v>
      </c>
      <c r="B13" s="1" t="s">
        <v>1</v>
      </c>
      <c r="C13" s="1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>
        <v>0</v>
      </c>
      <c r="Q13" s="3">
        <v>0</v>
      </c>
      <c r="S13" s="3">
        <f t="shared" si="0"/>
        <v>0</v>
      </c>
      <c r="U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</row>
    <row r="14" spans="1:32" x14ac:dyDescent="0.2">
      <c r="A14" s="1" t="s">
        <v>7</v>
      </c>
      <c r="B14" s="1" t="s">
        <v>1</v>
      </c>
      <c r="C14" s="1" t="s">
        <v>6</v>
      </c>
      <c r="E14" s="3">
        <v>1.5945275639065709E-4</v>
      </c>
      <c r="F14" s="3">
        <v>2.9276677977445472E-4</v>
      </c>
      <c r="G14" s="3">
        <v>6.3776726842195352E-4</v>
      </c>
      <c r="H14" s="3">
        <v>1.9715586629591211E-4</v>
      </c>
      <c r="I14" s="3">
        <v>3.6783586410179809E-4</v>
      </c>
      <c r="J14" s="3">
        <f>0.208896763040968-0.011</f>
        <v>0.19789676304096798</v>
      </c>
      <c r="K14" s="3">
        <v>0.26123627271995298</v>
      </c>
      <c r="L14" s="3">
        <f>0.367294132618368-0.031</f>
        <v>0.33629413261836805</v>
      </c>
      <c r="M14" s="3">
        <v>0</v>
      </c>
      <c r="N14" s="3">
        <f>0.298548940168444-0.027</f>
        <v>0.271548940168444</v>
      </c>
      <c r="O14" s="3"/>
      <c r="P14" s="3">
        <v>56954.545568245849</v>
      </c>
      <c r="Q14" s="3">
        <v>1255004.9092617889</v>
      </c>
      <c r="S14" s="3">
        <f t="shared" si="0"/>
        <v>1311959.4548300349</v>
      </c>
      <c r="U14">
        <v>3808696.2945055841</v>
      </c>
      <c r="W14">
        <v>1.069209637440071E-2</v>
      </c>
      <c r="X14">
        <v>1.8109651876599273E-2</v>
      </c>
      <c r="Y14">
        <v>4.1293205533461032E-2</v>
      </c>
      <c r="Z14">
        <v>0.18589791626551772</v>
      </c>
      <c r="AA14">
        <v>2.073281161473935E-2</v>
      </c>
      <c r="AB14">
        <v>0.36527180133251691</v>
      </c>
      <c r="AC14">
        <v>0.50800031787972211</v>
      </c>
      <c r="AD14">
        <v>0.54224756218904491</v>
      </c>
      <c r="AE14">
        <v>0</v>
      </c>
      <c r="AF14">
        <v>1.4317304952609373</v>
      </c>
    </row>
    <row r="15" spans="1:32" x14ac:dyDescent="0.2">
      <c r="A15" s="1" t="s">
        <v>8</v>
      </c>
      <c r="B15" s="1" t="s">
        <v>9</v>
      </c>
      <c r="C15" s="1" t="s">
        <v>10</v>
      </c>
      <c r="D15" s="9" t="s">
        <v>30</v>
      </c>
      <c r="E15" s="3">
        <v>0.28959395681537647</v>
      </c>
      <c r="F15" s="3">
        <v>0.10574390348812091</v>
      </c>
      <c r="G15" s="3">
        <v>0.04</v>
      </c>
      <c r="H15" s="3">
        <v>0.08</v>
      </c>
      <c r="I15" s="3">
        <v>0.22642990469725791</v>
      </c>
      <c r="J15" s="3">
        <v>0.38552543048560239</v>
      </c>
      <c r="K15" s="3">
        <v>8.526443865743033E-2</v>
      </c>
      <c r="L15" s="3">
        <v>0.04</v>
      </c>
      <c r="M15" s="3">
        <v>0</v>
      </c>
      <c r="N15" s="3">
        <v>0.21909553199401741</v>
      </c>
      <c r="O15" s="9" t="s">
        <v>32</v>
      </c>
      <c r="P15" s="3">
        <v>0</v>
      </c>
      <c r="Q15" s="3">
        <v>0</v>
      </c>
    </row>
    <row r="16" spans="1:32" x14ac:dyDescent="0.2">
      <c r="A16" s="1" t="s">
        <v>8</v>
      </c>
      <c r="B16" s="1" t="s">
        <v>9</v>
      </c>
      <c r="C16" s="1" t="s">
        <v>11</v>
      </c>
      <c r="E16" s="3">
        <v>5.5325964125777408E-2</v>
      </c>
      <c r="F16" s="3">
        <v>5.7367347496007991E-2</v>
      </c>
      <c r="G16" s="3">
        <v>0.02</v>
      </c>
      <c r="H16" s="3">
        <v>0.05</v>
      </c>
      <c r="I16" s="3">
        <v>4.7951430687274588E-2</v>
      </c>
      <c r="J16" s="3">
        <v>6.1470709686442929E-2</v>
      </c>
      <c r="K16" s="3">
        <v>3.082128066315961E-2</v>
      </c>
      <c r="L16" s="3">
        <v>0.02</v>
      </c>
      <c r="M16" s="3">
        <v>0</v>
      </c>
      <c r="N16" s="3">
        <v>5.9462114851690243E-2</v>
      </c>
      <c r="O16" s="3"/>
      <c r="P16" s="3">
        <v>0</v>
      </c>
      <c r="Q16" s="3">
        <v>0</v>
      </c>
    </row>
    <row r="17" spans="1:18" x14ac:dyDescent="0.2">
      <c r="A17" s="1" t="s">
        <v>8</v>
      </c>
      <c r="B17" s="1" t="s">
        <v>9</v>
      </c>
      <c r="C17" s="1" t="s">
        <v>12</v>
      </c>
      <c r="E17" s="3">
        <v>0.25840155423314187</v>
      </c>
      <c r="F17" s="3">
        <v>0.11883447661550429</v>
      </c>
      <c r="G17" s="3">
        <v>0.04</v>
      </c>
      <c r="H17" s="3">
        <v>7.0000000000000007E-2</v>
      </c>
      <c r="I17" s="3">
        <v>0.31958146118633002</v>
      </c>
      <c r="J17" s="3">
        <v>0.1214644212371187</v>
      </c>
      <c r="K17" s="3">
        <v>0.17835619966207911</v>
      </c>
      <c r="L17" s="3">
        <v>0.04</v>
      </c>
      <c r="M17" s="3">
        <v>0</v>
      </c>
      <c r="N17" s="3">
        <v>0.31195477423983858</v>
      </c>
      <c r="O17" s="3"/>
      <c r="P17" s="3">
        <v>0</v>
      </c>
      <c r="Q17" s="3">
        <v>0</v>
      </c>
    </row>
    <row r="18" spans="1:18" x14ac:dyDescent="0.2">
      <c r="A18" s="1" t="s">
        <v>8</v>
      </c>
      <c r="B18" s="1" t="s">
        <v>13</v>
      </c>
      <c r="C18" s="1" t="s">
        <v>14</v>
      </c>
      <c r="D18" s="9" t="s">
        <v>31</v>
      </c>
      <c r="E18" s="3">
        <v>342552.27019182628</v>
      </c>
      <c r="F18" s="3">
        <v>167269.94308451819</v>
      </c>
      <c r="G18" s="3">
        <v>167269.94308451819</v>
      </c>
      <c r="H18" s="3">
        <v>0</v>
      </c>
      <c r="I18" s="3">
        <v>179791.79002667029</v>
      </c>
      <c r="J18" s="3">
        <v>289962.46619322902</v>
      </c>
      <c r="K18" s="3">
        <v>40474.89833033867</v>
      </c>
      <c r="L18" s="3">
        <v>40474.89833033867</v>
      </c>
      <c r="M18" s="3">
        <v>0</v>
      </c>
      <c r="N18" s="3">
        <v>69431.794242036325</v>
      </c>
      <c r="O18" s="9" t="s">
        <v>33</v>
      </c>
      <c r="P18" s="3">
        <v>5296525995824.2637</v>
      </c>
      <c r="Q18" s="3">
        <v>69021047159.929993</v>
      </c>
    </row>
    <row r="19" spans="1:18" x14ac:dyDescent="0.2">
      <c r="A19" s="1" t="s">
        <v>8</v>
      </c>
      <c r="B19" s="1" t="s">
        <v>13</v>
      </c>
      <c r="C19" s="1" t="s">
        <v>15</v>
      </c>
      <c r="E19" s="3">
        <v>0.17073400329566049</v>
      </c>
      <c r="F19" s="3">
        <v>1.2327310873915091E-2</v>
      </c>
      <c r="G19" s="3">
        <v>1.2327310873915091E-2</v>
      </c>
      <c r="H19" s="3">
        <v>0</v>
      </c>
      <c r="I19" s="3">
        <v>1.962132598016534E-2</v>
      </c>
      <c r="J19" s="3">
        <v>9.2589299777300557E-3</v>
      </c>
      <c r="K19" s="3">
        <v>3.2948809290613218E-3</v>
      </c>
      <c r="L19" s="3">
        <v>3.2948809290613218E-3</v>
      </c>
      <c r="M19" s="3">
        <v>0</v>
      </c>
      <c r="N19" s="3">
        <v>7.6589846557156872E-3</v>
      </c>
      <c r="O19" s="3"/>
      <c r="P19" s="3">
        <v>0</v>
      </c>
      <c r="Q19" s="3">
        <v>0</v>
      </c>
    </row>
    <row r="21" spans="1:18" x14ac:dyDescent="0.2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3" spans="1:18" x14ac:dyDescent="0.2">
      <c r="A23" s="1" t="s">
        <v>0</v>
      </c>
      <c r="B23" s="1" t="s">
        <v>1</v>
      </c>
      <c r="C23" s="1" t="s">
        <v>2</v>
      </c>
      <c r="D23" s="9" t="s">
        <v>25</v>
      </c>
      <c r="E23" cm="1">
        <f t="array" ref="E23:N37">MMULT(E5:N19,_xlfn.MUNIT(10)*_xlfn.ANCHORARRAY(U5))</f>
        <v>810222.18806529278</v>
      </c>
      <c r="F23">
        <v>3011462.0979423784</v>
      </c>
      <c r="G23">
        <v>1900706.4847388766</v>
      </c>
      <c r="H23">
        <v>402018.93433004344</v>
      </c>
      <c r="I23">
        <v>732811.97355634312</v>
      </c>
      <c r="J23">
        <v>7017.4208923415144</v>
      </c>
      <c r="K23">
        <v>160524.72793739926</v>
      </c>
      <c r="L23">
        <v>135190.35542817382</v>
      </c>
      <c r="M23">
        <v>0</v>
      </c>
      <c r="N23">
        <v>16285.538844651957</v>
      </c>
      <c r="O23" s="9" t="s">
        <v>26</v>
      </c>
      <c r="P23" s="3" cm="1">
        <f t="array" ref="P23:Q32">P5:Q14</f>
        <v>2533458.568621377</v>
      </c>
      <c r="Q23">
        <v>11455.344814628779</v>
      </c>
      <c r="R23" s="7">
        <f>SUM(E23:Q23)</f>
        <v>9721153.6351715066</v>
      </c>
    </row>
    <row r="24" spans="1:18" x14ac:dyDescent="0.2">
      <c r="A24" s="1" t="s">
        <v>0</v>
      </c>
      <c r="B24" s="1" t="s">
        <v>1</v>
      </c>
      <c r="C24" s="1" t="s">
        <v>3</v>
      </c>
      <c r="E24">
        <v>715019.00268930197</v>
      </c>
      <c r="F24">
        <v>21322953.303810157</v>
      </c>
      <c r="G24">
        <v>2377034.3043370051</v>
      </c>
      <c r="H24">
        <v>804458.87888208404</v>
      </c>
      <c r="I24">
        <v>5219768.4771916736</v>
      </c>
      <c r="J24">
        <v>4198.2159757178169</v>
      </c>
      <c r="K24">
        <v>427927.98070267943</v>
      </c>
      <c r="L24">
        <v>271283.49345634738</v>
      </c>
      <c r="M24">
        <v>0</v>
      </c>
      <c r="N24">
        <v>47819.607900080147</v>
      </c>
      <c r="P24">
        <v>18160868.991861291</v>
      </c>
      <c r="Q24">
        <v>121750.6625725599</v>
      </c>
      <c r="R24" s="7">
        <f t="shared" ref="R24:R32" si="1">SUM(E24:Q24)</f>
        <v>49473082.919378899</v>
      </c>
    </row>
    <row r="25" spans="1:18" x14ac:dyDescent="0.2">
      <c r="A25" s="1" t="s">
        <v>0</v>
      </c>
      <c r="B25" s="1" t="s">
        <v>1</v>
      </c>
      <c r="C25" s="1" t="s">
        <v>4</v>
      </c>
      <c r="E25">
        <v>641596.13992131932</v>
      </c>
      <c r="F25">
        <v>1731557.9021782617</v>
      </c>
      <c r="G25">
        <v>0</v>
      </c>
      <c r="H25">
        <v>0</v>
      </c>
      <c r="I25">
        <v>7036390.1902182354</v>
      </c>
      <c r="J25" s="8">
        <v>237.12723473776748</v>
      </c>
      <c r="K25" s="8">
        <v>7585.260189294976</v>
      </c>
      <c r="L25" s="8">
        <v>33639.153188587072</v>
      </c>
      <c r="M25" s="8">
        <v>0</v>
      </c>
      <c r="N25" s="8">
        <v>57130.444417583756</v>
      </c>
      <c r="O25" s="8"/>
      <c r="P25">
        <v>1</v>
      </c>
      <c r="Q25" s="8">
        <v>0</v>
      </c>
      <c r="R25" s="6">
        <f t="shared" si="1"/>
        <v>9508137.2173480205</v>
      </c>
    </row>
    <row r="26" spans="1:18" x14ac:dyDescent="0.2">
      <c r="A26" s="1" t="s">
        <v>0</v>
      </c>
      <c r="B26" s="1" t="s">
        <v>1</v>
      </c>
      <c r="C26" s="1" t="s">
        <v>5</v>
      </c>
      <c r="E26">
        <v>0</v>
      </c>
      <c r="F26">
        <v>0</v>
      </c>
      <c r="G26">
        <v>0</v>
      </c>
      <c r="H26">
        <v>0</v>
      </c>
      <c r="I26">
        <v>4020794.3944104202</v>
      </c>
      <c r="J26">
        <v>0</v>
      </c>
      <c r="K26">
        <v>0</v>
      </c>
      <c r="L26">
        <v>0</v>
      </c>
      <c r="M26">
        <v>0</v>
      </c>
      <c r="N26">
        <v>0</v>
      </c>
      <c r="P26">
        <v>1500</v>
      </c>
      <c r="Q26">
        <v>0</v>
      </c>
      <c r="R26" s="7">
        <f t="shared" si="1"/>
        <v>4022294.3944104202</v>
      </c>
    </row>
    <row r="27" spans="1:18" x14ac:dyDescent="0.2">
      <c r="A27" s="1" t="s">
        <v>0</v>
      </c>
      <c r="B27" s="1" t="s">
        <v>1</v>
      </c>
      <c r="C27" s="1" t="s">
        <v>6</v>
      </c>
      <c r="E27">
        <v>1651498.1335726304</v>
      </c>
      <c r="F27">
        <v>9069754.5736127198</v>
      </c>
      <c r="G27">
        <v>3797190.9082383187</v>
      </c>
      <c r="H27">
        <v>602551.14022573584</v>
      </c>
      <c r="I27">
        <v>23000548.729512036</v>
      </c>
      <c r="J27">
        <v>3865.6958922381596</v>
      </c>
      <c r="K27">
        <v>88223.776911078414</v>
      </c>
      <c r="L27">
        <v>35490.247839236399</v>
      </c>
      <c r="M27">
        <v>0</v>
      </c>
      <c r="N27">
        <v>92160.621737919282</v>
      </c>
      <c r="P27">
        <v>62125706.284935012</v>
      </c>
      <c r="Q27">
        <v>52869.74778356473</v>
      </c>
      <c r="R27" s="7">
        <f t="shared" si="1"/>
        <v>100519859.86026049</v>
      </c>
    </row>
    <row r="28" spans="1:18" x14ac:dyDescent="0.2">
      <c r="A28" s="1" t="s">
        <v>7</v>
      </c>
      <c r="B28" s="1" t="s">
        <v>1</v>
      </c>
      <c r="C28" s="1" t="s">
        <v>2</v>
      </c>
      <c r="E28">
        <v>406.3657190542699</v>
      </c>
      <c r="F28">
        <v>0</v>
      </c>
      <c r="G28">
        <v>920.95873072752477</v>
      </c>
      <c r="H28">
        <v>210.50511099855862</v>
      </c>
      <c r="I28">
        <v>810.93663157919457</v>
      </c>
      <c r="J28">
        <v>8797.8225155711007</v>
      </c>
      <c r="K28">
        <v>97172.406406620779</v>
      </c>
      <c r="L28">
        <v>81836.439336904135</v>
      </c>
      <c r="M28">
        <v>0</v>
      </c>
      <c r="N28">
        <v>12537.295759908871</v>
      </c>
      <c r="P28">
        <v>5077.8045276832536</v>
      </c>
      <c r="Q28">
        <v>29356.699998719741</v>
      </c>
      <c r="R28" s="7">
        <f t="shared" si="1"/>
        <v>237127.2347377674</v>
      </c>
    </row>
    <row r="29" spans="1:18" x14ac:dyDescent="0.2">
      <c r="A29" s="1" t="s">
        <v>7</v>
      </c>
      <c r="B29" s="1" t="s">
        <v>1</v>
      </c>
      <c r="C29" s="1" t="s">
        <v>3</v>
      </c>
      <c r="E29">
        <v>6717.5295622934291</v>
      </c>
      <c r="F29">
        <v>124363.17054910836</v>
      </c>
      <c r="G29">
        <v>475406.86086740106</v>
      </c>
      <c r="H29">
        <v>1407803.0380436471</v>
      </c>
      <c r="I29">
        <v>63064.260930562305</v>
      </c>
      <c r="J29">
        <v>28915.486858791686</v>
      </c>
      <c r="K29">
        <v>846824.65674311807</v>
      </c>
      <c r="L29">
        <v>54256.698691269477</v>
      </c>
      <c r="M29">
        <v>0</v>
      </c>
      <c r="N29">
        <v>253728.51823026594</v>
      </c>
      <c r="P29">
        <v>231650.9630397502</v>
      </c>
      <c r="Q29">
        <v>299898.91113128111</v>
      </c>
      <c r="R29" s="6">
        <f t="shared" si="1"/>
        <v>3792630.0946474886</v>
      </c>
    </row>
    <row r="30" spans="1:18" x14ac:dyDescent="0.2">
      <c r="A30" s="1" t="s">
        <v>7</v>
      </c>
      <c r="B30" s="1" t="s">
        <v>1</v>
      </c>
      <c r="C30" s="1" t="s">
        <v>4</v>
      </c>
      <c r="E30" s="8">
        <v>29163.460905514516</v>
      </c>
      <c r="F30" s="8">
        <v>247365.41459689449</v>
      </c>
      <c r="G30" s="8">
        <v>0</v>
      </c>
      <c r="H30" s="8">
        <v>0</v>
      </c>
      <c r="I30" s="8">
        <v>703639.01902182354</v>
      </c>
      <c r="J30">
        <v>2371.272347377675</v>
      </c>
      <c r="K30">
        <v>56889.451419712321</v>
      </c>
      <c r="L30">
        <v>0</v>
      </c>
      <c r="M30">
        <v>0</v>
      </c>
      <c r="N30">
        <v>45704.355534067006</v>
      </c>
      <c r="P30" s="8">
        <v>0</v>
      </c>
      <c r="Q30">
        <v>1</v>
      </c>
      <c r="R30" s="7">
        <f t="shared" si="1"/>
        <v>1085133.9738253895</v>
      </c>
    </row>
    <row r="31" spans="1:18" x14ac:dyDescent="0.2">
      <c r="A31" s="1" t="s">
        <v>7</v>
      </c>
      <c r="B31" s="1" t="s">
        <v>1</v>
      </c>
      <c r="C31" s="1" t="s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0</v>
      </c>
      <c r="R31" s="7">
        <f t="shared" si="1"/>
        <v>0</v>
      </c>
    </row>
    <row r="32" spans="1:18" x14ac:dyDescent="0.2">
      <c r="A32" s="1" t="s">
        <v>7</v>
      </c>
      <c r="B32" s="1" t="s">
        <v>1</v>
      </c>
      <c r="C32" s="1" t="s">
        <v>6</v>
      </c>
      <c r="E32">
        <v>1550.0647424251526</v>
      </c>
      <c r="F32">
        <v>14484.07517182114</v>
      </c>
      <c r="G32">
        <v>6063.9787008891608</v>
      </c>
      <c r="H32">
        <v>793.01893582717764</v>
      </c>
      <c r="I32">
        <v>36974.809511090571</v>
      </c>
      <c r="J32">
        <v>46926.712183459967</v>
      </c>
      <c r="K32">
        <v>990772.54973123223</v>
      </c>
      <c r="L32">
        <v>364924.18850233225</v>
      </c>
      <c r="M32">
        <v>0</v>
      </c>
      <c r="N32">
        <v>1034247.4421964712</v>
      </c>
      <c r="P32">
        <v>56954.545568245849</v>
      </c>
      <c r="Q32">
        <v>1255004.9092617889</v>
      </c>
      <c r="R32" s="7">
        <f t="shared" si="1"/>
        <v>3808696.2945055831</v>
      </c>
    </row>
    <row r="33" spans="1:14" x14ac:dyDescent="0.2">
      <c r="A33" s="1" t="s">
        <v>8</v>
      </c>
      <c r="B33" s="1" t="s">
        <v>9</v>
      </c>
      <c r="C33" s="1" t="s">
        <v>10</v>
      </c>
      <c r="D33" s="9" t="s">
        <v>28</v>
      </c>
      <c r="E33">
        <v>2815187.3460194967</v>
      </c>
      <c r="F33">
        <v>5231476.9054866051</v>
      </c>
      <c r="G33">
        <v>380325.48869392084</v>
      </c>
      <c r="H33">
        <v>321783.55155283364</v>
      </c>
      <c r="I33">
        <v>22760702.288340505</v>
      </c>
      <c r="J33">
        <v>91418.579252138297</v>
      </c>
      <c r="K33">
        <v>323376.47605539492</v>
      </c>
      <c r="L33">
        <v>43405.35895301558</v>
      </c>
      <c r="M33">
        <v>0</v>
      </c>
      <c r="N33">
        <v>834468.34084834368</v>
      </c>
    </row>
    <row r="34" spans="1:14" x14ac:dyDescent="0.2">
      <c r="A34" s="1" t="s">
        <v>8</v>
      </c>
      <c r="B34" s="1" t="s">
        <v>9</v>
      </c>
      <c r="C34" s="1" t="s">
        <v>11</v>
      </c>
      <c r="E34">
        <v>537832.19728066935</v>
      </c>
      <c r="F34">
        <v>2838139.5395348268</v>
      </c>
      <c r="G34">
        <v>190162.74434696042</v>
      </c>
      <c r="H34">
        <v>201114.71972052101</v>
      </c>
      <c r="I34">
        <v>4820071.0927838366</v>
      </c>
      <c r="J34">
        <v>14576.37940531431</v>
      </c>
      <c r="K34">
        <v>116893.71659867583</v>
      </c>
      <c r="L34">
        <v>21702.67947650779</v>
      </c>
      <c r="M34">
        <v>0</v>
      </c>
      <c r="N34">
        <v>226473.13649909809</v>
      </c>
    </row>
    <row r="35" spans="1:14" x14ac:dyDescent="0.2">
      <c r="A35" s="1" t="s">
        <v>8</v>
      </c>
      <c r="B35" s="1" t="s">
        <v>9</v>
      </c>
      <c r="C35" s="1" t="s">
        <v>12</v>
      </c>
      <c r="E35">
        <v>2511961.2082674736</v>
      </c>
      <c r="F35">
        <v>5879107.9152798364</v>
      </c>
      <c r="G35">
        <v>380325.48869392084</v>
      </c>
      <c r="H35">
        <v>281560.60760872945</v>
      </c>
      <c r="I35">
        <v>32124283.692387175</v>
      </c>
      <c r="J35">
        <v>28802.522326981318</v>
      </c>
      <c r="K35">
        <v>676439.09040535742</v>
      </c>
      <c r="L35">
        <v>43405.35895301558</v>
      </c>
      <c r="M35">
        <v>0</v>
      </c>
      <c r="N35">
        <v>1188140.9927005991</v>
      </c>
    </row>
    <row r="36" spans="1:14" x14ac:dyDescent="0.2">
      <c r="A36" s="1" t="s">
        <v>8</v>
      </c>
      <c r="B36" s="1" t="s">
        <v>13</v>
      </c>
      <c r="C36" s="1" t="s">
        <v>14</v>
      </c>
      <c r="D36" s="9" t="s">
        <v>27</v>
      </c>
      <c r="E36">
        <v>3330003246611.5234</v>
      </c>
      <c r="F36">
        <v>8275359764140.1572</v>
      </c>
      <c r="G36">
        <v>1590425571185.5925</v>
      </c>
      <c r="H36">
        <v>0</v>
      </c>
      <c r="I36">
        <v>18072645537506.281</v>
      </c>
      <c r="J36">
        <v>68757997786.143784</v>
      </c>
      <c r="K36">
        <v>153506317485.43982</v>
      </c>
      <c r="L36">
        <v>43920687265.379028</v>
      </c>
      <c r="M36">
        <v>0</v>
      </c>
      <c r="N36">
        <v>264444617450.51791</v>
      </c>
    </row>
    <row r="37" spans="1:14" x14ac:dyDescent="0.2">
      <c r="A37" s="1" t="s">
        <v>8</v>
      </c>
      <c r="B37" s="1" t="s">
        <v>13</v>
      </c>
      <c r="C37" s="1" t="s">
        <v>15</v>
      </c>
      <c r="E37">
        <v>1659731.4767849937</v>
      </c>
      <c r="F37">
        <v>609870.07303816243</v>
      </c>
      <c r="G37">
        <v>117209.76331009103</v>
      </c>
      <c r="H37">
        <v>0</v>
      </c>
      <c r="I37">
        <v>1972332.9377987084</v>
      </c>
      <c r="J37">
        <v>2195.5444622497471</v>
      </c>
      <c r="K37">
        <v>12496.264569838044</v>
      </c>
      <c r="L37">
        <v>3575.3872358338035</v>
      </c>
      <c r="M37">
        <v>0</v>
      </c>
      <c r="N37">
        <v>29170.746477899465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C1" s="1" t="s">
        <v>18</v>
      </c>
    </row>
    <row r="2" spans="1:3" x14ac:dyDescent="0.2">
      <c r="A2" s="1" t="s">
        <v>1</v>
      </c>
      <c r="B2" s="1" t="s">
        <v>2</v>
      </c>
      <c r="C2" t="s">
        <v>19</v>
      </c>
    </row>
    <row r="3" spans="1:3" x14ac:dyDescent="0.2">
      <c r="A3" s="1" t="s">
        <v>1</v>
      </c>
      <c r="B3" s="1" t="s">
        <v>6</v>
      </c>
      <c r="C3" t="s">
        <v>19</v>
      </c>
    </row>
    <row r="4" spans="1:3" x14ac:dyDescent="0.2">
      <c r="A4" s="1" t="s">
        <v>1</v>
      </c>
      <c r="B4" s="1" t="s">
        <v>3</v>
      </c>
      <c r="C4" t="s">
        <v>19</v>
      </c>
    </row>
    <row r="5" spans="1:3" x14ac:dyDescent="0.2">
      <c r="A5" s="1" t="s">
        <v>1</v>
      </c>
      <c r="B5" s="1" t="s">
        <v>4</v>
      </c>
      <c r="C5" t="s">
        <v>19</v>
      </c>
    </row>
    <row r="6" spans="1:3" x14ac:dyDescent="0.2">
      <c r="A6" s="1" t="s">
        <v>1</v>
      </c>
      <c r="B6" s="1" t="s">
        <v>5</v>
      </c>
      <c r="C6" t="s">
        <v>19</v>
      </c>
    </row>
    <row r="7" spans="1:3" x14ac:dyDescent="0.2">
      <c r="A7" s="1" t="s">
        <v>9</v>
      </c>
      <c r="B7" s="1" t="s">
        <v>11</v>
      </c>
      <c r="C7" t="s">
        <v>19</v>
      </c>
    </row>
    <row r="8" spans="1:3" x14ac:dyDescent="0.2">
      <c r="A8" s="1" t="s">
        <v>9</v>
      </c>
      <c r="B8" s="1" t="s">
        <v>12</v>
      </c>
      <c r="C8" t="s">
        <v>19</v>
      </c>
    </row>
    <row r="9" spans="1:3" x14ac:dyDescent="0.2">
      <c r="A9" s="1" t="s">
        <v>9</v>
      </c>
      <c r="B9" s="1" t="s">
        <v>10</v>
      </c>
      <c r="C9" t="s">
        <v>19</v>
      </c>
    </row>
    <row r="10" spans="1:3" x14ac:dyDescent="0.2">
      <c r="A10" s="1" t="s">
        <v>13</v>
      </c>
      <c r="B10" s="1" t="s">
        <v>15</v>
      </c>
      <c r="C10" t="s">
        <v>20</v>
      </c>
    </row>
    <row r="11" spans="1:3" x14ac:dyDescent="0.2">
      <c r="A11" s="1" t="s">
        <v>13</v>
      </c>
      <c r="B11" s="1" t="s">
        <v>14</v>
      </c>
      <c r="C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flows</vt:lpstr>
      <vt:lpstr>coefficients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2026-05-04T10:09:21Z</dcterms:created>
  <dcterms:modified xsi:type="dcterms:W3CDTF">2026-05-04T12:48:09Z</dcterms:modified>
</cp:coreProperties>
</file>