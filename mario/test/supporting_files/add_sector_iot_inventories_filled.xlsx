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orenzorinaldi/Documents/GitHub/MARIO/mario/test/supporting_files/"/>
    </mc:Choice>
  </mc:AlternateContent>
  <xr:revisionPtr revIDLastSave="0" documentId="13_ncr:1_{6A155198-E7D0-A44E-A386-C30D85D777BE}" xr6:coauthVersionLast="47" xr6:coauthVersionMax="47" xr10:uidLastSave="{00000000-0000-0000-0000-000000000000}"/>
  <bookViews>
    <workbookView xWindow="-38400" yWindow="600" windowWidth="38400" windowHeight="21000" xr2:uid="{00000000-000D-0000-FFFF-FFFF00000000}"/>
  </bookViews>
  <sheets>
    <sheet name="Master" sheetId="1" r:id="rId1"/>
    <sheet name="Regions Clusters" sheetId="2" r:id="rId2"/>
    <sheet name="Sectors Clusters" sheetId="3" r:id="rId3"/>
    <sheet name="DB units" sheetId="4" r:id="rId4"/>
    <sheet name="Total outputs" sheetId="5" r:id="rId5"/>
    <sheet name="Trades" sheetId="6" r:id="rId6"/>
    <sheet name="Exclusions" sheetId="7" r:id="rId7"/>
    <sheet name="Tolerances" sheetId="8" r:id="rId8"/>
    <sheet name="new_ind" sheetId="9" r:id="rId9"/>
    <sheet name="new_ser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2" i="6"/>
  <c r="C3" i="5"/>
  <c r="C2" i="5"/>
</calcChain>
</file>

<file path=xl/sharedStrings.xml><?xml version="1.0" encoding="utf-8"?>
<sst xmlns="http://schemas.openxmlformats.org/spreadsheetml/2006/main" count="168" uniqueCount="57">
  <si>
    <t>Region</t>
  </si>
  <si>
    <t>Sector</t>
  </si>
  <si>
    <t>Inventory sheet</t>
  </si>
  <si>
    <t>Quantity</t>
  </si>
  <si>
    <t>Unit</t>
  </si>
  <si>
    <t>Final consumption</t>
  </si>
  <si>
    <t>Consumption category</t>
  </si>
  <si>
    <t>Parent Sector</t>
  </si>
  <si>
    <t>Leave empty</t>
  </si>
  <si>
    <t>Source</t>
  </si>
  <si>
    <t>Notes</t>
  </si>
  <si>
    <t>Add or Split</t>
  </si>
  <si>
    <t>GLOBAL</t>
  </si>
  <si>
    <t>New industry</t>
  </si>
  <si>
    <t>new_ind</t>
  </si>
  <si>
    <t>M EUR</t>
  </si>
  <si>
    <t>Reg1</t>
  </si>
  <si>
    <t>New services</t>
  </si>
  <si>
    <t>new_ser</t>
  </si>
  <si>
    <t>Services</t>
  </si>
  <si>
    <t>Reg2</t>
  </si>
  <si>
    <t>Item type</t>
  </si>
  <si>
    <t>DB Item</t>
  </si>
  <si>
    <t>Agriculture</t>
  </si>
  <si>
    <t>Industry</t>
  </si>
  <si>
    <t>Factor of production</t>
  </si>
  <si>
    <t>Taxes</t>
  </si>
  <si>
    <t>Wages</t>
  </si>
  <si>
    <t>Capital</t>
  </si>
  <si>
    <t>Satellite account</t>
  </si>
  <si>
    <t>Employment</t>
  </si>
  <si>
    <t>1000 p</t>
  </si>
  <si>
    <t>CO2</t>
  </si>
  <si>
    <t>kg</t>
  </si>
  <si>
    <t>Sector_from</t>
  </si>
  <si>
    <t>Region_from</t>
  </si>
  <si>
    <t>Region_to</t>
  </si>
  <si>
    <t>Sector_to</t>
  </si>
  <si>
    <t>tol_Name</t>
  </si>
  <si>
    <t>values</t>
  </si>
  <si>
    <t>delta</t>
  </si>
  <si>
    <t>eps</t>
  </si>
  <si>
    <t>Input</t>
  </si>
  <si>
    <t>DB Region</t>
  </si>
  <si>
    <t>Change type</t>
  </si>
  <si>
    <t>Sector 1</t>
  </si>
  <si>
    <t>Sector 2</t>
  </si>
  <si>
    <t>Sector 3</t>
  </si>
  <si>
    <t>Factor 1</t>
  </si>
  <si>
    <t>Factor 2</t>
  </si>
  <si>
    <t>Update</t>
  </si>
  <si>
    <t>MARIO doc</t>
  </si>
  <si>
    <t>Percentage</t>
  </si>
  <si>
    <t>Sector 4</t>
  </si>
  <si>
    <t>Final demand</t>
  </si>
  <si>
    <t>All</t>
  </si>
  <si>
    <t>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</si>
</sst>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184" workbookViewId="0">
      <selection activeCell="H2" sqref="H2"/>
    </sheetView>
  </sheetViews>
  <sheetFormatPr baseColWidth="10" defaultColWidth="8.83203125" defaultRowHeight="15" x14ac:dyDescent="0.2"/>
  <cols>
    <col min="1" max="1" width="7.1640625" bestFit="1" customWidth="1"/>
    <col min="2" max="2" width="12" bestFit="1" customWidth="1"/>
    <col min="3" max="3" width="13.33203125" bestFit="1" customWidth="1"/>
    <col min="4" max="4" width="8" bestFit="1" customWidth="1"/>
    <col min="5" max="5" width="6" bestFit="1" customWidth="1"/>
    <col min="6" max="6" width="15.33203125" bestFit="1" customWidth="1"/>
    <col min="7" max="7" width="18.6640625" bestFit="1" customWidth="1"/>
    <col min="8" max="8" width="11.6640625" bestFit="1" customWidth="1"/>
    <col min="9" max="9" width="11" bestFit="1" customWidth="1"/>
    <col min="10" max="10" width="6.5" bestFit="1" customWidth="1"/>
    <col min="11" max="11" width="5.6640625" bestFit="1" customWidth="1"/>
    <col min="12" max="12" width="10.1640625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1</v>
      </c>
      <c r="E2" t="s">
        <v>15</v>
      </c>
      <c r="H2" t="s">
        <v>24</v>
      </c>
      <c r="L2" t="s">
        <v>56</v>
      </c>
    </row>
    <row r="3" spans="1:12" x14ac:dyDescent="0.2">
      <c r="A3" t="s">
        <v>16</v>
      </c>
      <c r="B3" t="s">
        <v>17</v>
      </c>
      <c r="C3" t="s">
        <v>18</v>
      </c>
      <c r="D3">
        <v>1</v>
      </c>
      <c r="E3" t="s">
        <v>15</v>
      </c>
      <c r="F3" s="5">
        <v>1500</v>
      </c>
      <c r="G3" t="s">
        <v>54</v>
      </c>
      <c r="H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zoomScale="289" workbookViewId="0"/>
  </sheetViews>
  <sheetFormatPr baseColWidth="10" defaultColWidth="8.83203125" defaultRowHeight="15" x14ac:dyDescent="0.2"/>
  <sheetData>
    <row r="1" spans="1:1" x14ac:dyDescent="0.2">
      <c r="A1" s="1" t="s">
        <v>12</v>
      </c>
    </row>
    <row r="2" spans="1:1" x14ac:dyDescent="0.2">
      <c r="A2" t="s">
        <v>16</v>
      </c>
    </row>
    <row r="3" spans="1:1" x14ac:dyDescent="0.2">
      <c r="A3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zoomScale="286" workbookViewId="0">
      <selection activeCell="E3" sqref="E3"/>
    </sheetView>
  </sheetViews>
  <sheetFormatPr baseColWidth="10" defaultColWidth="8.83203125" defaultRowHeight="15" x14ac:dyDescent="0.2"/>
  <sheetData>
    <row r="1" spans="1:1" x14ac:dyDescent="0.2">
      <c r="A1" s="1" t="s">
        <v>55</v>
      </c>
    </row>
    <row r="2" spans="1:1" x14ac:dyDescent="0.2">
      <c r="A2" t="s">
        <v>23</v>
      </c>
    </row>
    <row r="3" spans="1:1" x14ac:dyDescent="0.2">
      <c r="A3" t="s">
        <v>19</v>
      </c>
    </row>
    <row r="4" spans="1:1" x14ac:dyDescent="0.2">
      <c r="A4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177" workbookViewId="0">
      <selection activeCell="C2" sqref="C2"/>
    </sheetView>
  </sheetViews>
  <sheetFormatPr baseColWidth="10" defaultColWidth="8.83203125" defaultRowHeight="15" x14ac:dyDescent="0.2"/>
  <cols>
    <col min="1" max="1" width="17" bestFit="1" customWidth="1"/>
    <col min="2" max="2" width="10.83203125" bestFit="1" customWidth="1"/>
    <col min="3" max="3" width="6.5" bestFit="1" customWidth="1"/>
  </cols>
  <sheetData>
    <row r="1" spans="1:3" x14ac:dyDescent="0.2">
      <c r="A1" s="1" t="s">
        <v>21</v>
      </c>
      <c r="B1" s="1" t="s">
        <v>22</v>
      </c>
      <c r="C1" s="1" t="s">
        <v>4</v>
      </c>
    </row>
    <row r="2" spans="1:3" x14ac:dyDescent="0.2">
      <c r="A2" t="s">
        <v>1</v>
      </c>
      <c r="B2" t="s">
        <v>23</v>
      </c>
      <c r="C2" t="s">
        <v>15</v>
      </c>
    </row>
    <row r="3" spans="1:3" x14ac:dyDescent="0.2">
      <c r="A3" t="s">
        <v>1</v>
      </c>
      <c r="B3" t="s">
        <v>19</v>
      </c>
      <c r="C3" t="s">
        <v>15</v>
      </c>
    </row>
    <row r="4" spans="1:3" x14ac:dyDescent="0.2">
      <c r="A4" t="s">
        <v>1</v>
      </c>
      <c r="B4" t="s">
        <v>24</v>
      </c>
      <c r="C4" t="s">
        <v>15</v>
      </c>
    </row>
    <row r="5" spans="1:3" x14ac:dyDescent="0.2">
      <c r="A5" t="s">
        <v>25</v>
      </c>
      <c r="B5" t="s">
        <v>26</v>
      </c>
      <c r="C5" t="s">
        <v>15</v>
      </c>
    </row>
    <row r="6" spans="1:3" x14ac:dyDescent="0.2">
      <c r="A6" t="s">
        <v>25</v>
      </c>
      <c r="B6" t="s">
        <v>27</v>
      </c>
      <c r="C6" t="s">
        <v>15</v>
      </c>
    </row>
    <row r="7" spans="1:3" x14ac:dyDescent="0.2">
      <c r="A7" t="s">
        <v>25</v>
      </c>
      <c r="B7" t="s">
        <v>28</v>
      </c>
      <c r="C7" t="s">
        <v>15</v>
      </c>
    </row>
    <row r="8" spans="1:3" x14ac:dyDescent="0.2">
      <c r="A8" t="s">
        <v>29</v>
      </c>
      <c r="B8" t="s">
        <v>30</v>
      </c>
      <c r="C8" t="s">
        <v>31</v>
      </c>
    </row>
    <row r="9" spans="1:3" x14ac:dyDescent="0.2">
      <c r="A9" t="s">
        <v>29</v>
      </c>
      <c r="B9" t="s">
        <v>32</v>
      </c>
      <c r="C9" t="s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zoomScale="226" workbookViewId="0">
      <selection activeCell="A2" sqref="A2:E3"/>
    </sheetView>
  </sheetViews>
  <sheetFormatPr baseColWidth="10" defaultColWidth="8.83203125" defaultRowHeight="15" x14ac:dyDescent="0.2"/>
  <cols>
    <col min="1" max="1" width="11.1640625" bestFit="1" customWidth="1"/>
    <col min="2" max="2" width="6.5" bestFit="1" customWidth="1"/>
    <col min="3" max="3" width="9.1640625" bestFit="1" customWidth="1"/>
    <col min="4" max="4" width="6" bestFit="1" customWidth="1"/>
    <col min="5" max="5" width="9.5" bestFit="1" customWidth="1"/>
    <col min="6" max="6" width="5.6640625" bestFit="1" customWidth="1"/>
  </cols>
  <sheetData>
    <row r="1" spans="1:6" x14ac:dyDescent="0.2">
      <c r="A1" s="1" t="s">
        <v>1</v>
      </c>
      <c r="B1" s="1" t="s">
        <v>0</v>
      </c>
      <c r="C1" s="1" t="s">
        <v>3</v>
      </c>
      <c r="D1" s="1" t="s">
        <v>4</v>
      </c>
      <c r="E1" s="1" t="s">
        <v>9</v>
      </c>
      <c r="F1" s="1" t="s">
        <v>10</v>
      </c>
    </row>
    <row r="2" spans="1:6" x14ac:dyDescent="0.2">
      <c r="A2" t="s">
        <v>13</v>
      </c>
      <c r="B2" t="s">
        <v>16</v>
      </c>
      <c r="C2">
        <f>0.05*53115504</f>
        <v>2655775.2000000002</v>
      </c>
      <c r="D2" t="s">
        <v>15</v>
      </c>
      <c r="E2" t="s">
        <v>51</v>
      </c>
    </row>
    <row r="3" spans="1:6" x14ac:dyDescent="0.2">
      <c r="A3" t="s">
        <v>13</v>
      </c>
      <c r="B3" t="s">
        <v>20</v>
      </c>
      <c r="C3" s="6">
        <f>0.05*1195683</f>
        <v>59784.15</v>
      </c>
      <c r="D3" t="s">
        <v>15</v>
      </c>
      <c r="E3" t="s">
        <v>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zoomScale="182" workbookViewId="0">
      <selection activeCell="A2" sqref="A2:G3"/>
    </sheetView>
  </sheetViews>
  <sheetFormatPr baseColWidth="10" defaultColWidth="8.83203125" defaultRowHeight="15" x14ac:dyDescent="0.2"/>
  <cols>
    <col min="1" max="2" width="11.1640625" bestFit="1" customWidth="1"/>
    <col min="3" max="3" width="9.1640625" bestFit="1" customWidth="1"/>
    <col min="4" max="4" width="8" bestFit="1" customWidth="1"/>
    <col min="5" max="5" width="6" bestFit="1" customWidth="1"/>
    <col min="6" max="6" width="9.5" bestFit="1" customWidth="1"/>
    <col min="7" max="7" width="5.6640625" bestFit="1" customWidth="1"/>
  </cols>
  <sheetData>
    <row r="1" spans="1:7" x14ac:dyDescent="0.2">
      <c r="A1" s="1" t="s">
        <v>34</v>
      </c>
      <c r="B1" s="1" t="s">
        <v>35</v>
      </c>
      <c r="C1" s="1" t="s">
        <v>36</v>
      </c>
      <c r="D1" s="1" t="s">
        <v>3</v>
      </c>
      <c r="E1" s="1" t="s">
        <v>4</v>
      </c>
      <c r="F1" s="1" t="s">
        <v>9</v>
      </c>
      <c r="G1" s="1" t="s">
        <v>10</v>
      </c>
    </row>
    <row r="2" spans="1:7" x14ac:dyDescent="0.2">
      <c r="A2" t="s">
        <v>13</v>
      </c>
      <c r="B2" t="s">
        <v>16</v>
      </c>
      <c r="C2" t="s">
        <v>20</v>
      </c>
      <c r="D2" s="6">
        <f>0.05*288442</f>
        <v>14422.1</v>
      </c>
      <c r="E2" t="s">
        <v>15</v>
      </c>
      <c r="F2" t="s">
        <v>51</v>
      </c>
    </row>
    <row r="3" spans="1:7" x14ac:dyDescent="0.2">
      <c r="A3" t="s">
        <v>13</v>
      </c>
      <c r="B3" t="s">
        <v>20</v>
      </c>
      <c r="C3" t="s">
        <v>16</v>
      </c>
      <c r="D3">
        <f>0.05*437620</f>
        <v>21881</v>
      </c>
      <c r="E3" t="s">
        <v>15</v>
      </c>
      <c r="F3" t="s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zoomScale="136" workbookViewId="0">
      <selection activeCell="E12" sqref="E12"/>
    </sheetView>
  </sheetViews>
  <sheetFormatPr baseColWidth="10" defaultColWidth="8.83203125" defaultRowHeight="15" x14ac:dyDescent="0.2"/>
  <cols>
    <col min="1" max="3" width="12.83203125" customWidth="1"/>
  </cols>
  <sheetData>
    <row r="1" spans="1:3" x14ac:dyDescent="0.2">
      <c r="A1" s="1" t="s">
        <v>34</v>
      </c>
      <c r="B1" s="1" t="s">
        <v>37</v>
      </c>
      <c r="C1" s="1" t="s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zoomScale="141" workbookViewId="0"/>
  </sheetViews>
  <sheetFormatPr baseColWidth="10" defaultColWidth="8.83203125" defaultRowHeight="15" x14ac:dyDescent="0.2"/>
  <sheetData>
    <row r="1" spans="1:2" x14ac:dyDescent="0.2">
      <c r="A1" s="1" t="s">
        <v>38</v>
      </c>
      <c r="B1" s="1" t="s">
        <v>39</v>
      </c>
    </row>
    <row r="2" spans="1:2" x14ac:dyDescent="0.2">
      <c r="A2" t="s">
        <v>40</v>
      </c>
      <c r="B2">
        <v>1.0000000000000001E-5</v>
      </c>
    </row>
    <row r="3" spans="1:2" x14ac:dyDescent="0.2">
      <c r="A3" t="s">
        <v>41</v>
      </c>
      <c r="B3">
        <v>1.0000000000000001E-5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"/>
  <sheetViews>
    <sheetView zoomScale="227" workbookViewId="0">
      <selection activeCell="H7" sqref="H7"/>
    </sheetView>
  </sheetViews>
  <sheetFormatPr baseColWidth="10" defaultColWidth="8.83203125" defaultRowHeight="15" x14ac:dyDescent="0.2"/>
  <cols>
    <col min="1" max="1" width="8" bestFit="1" customWidth="1"/>
    <col min="2" max="2" width="6.1640625" bestFit="1" customWidth="1"/>
    <col min="3" max="3" width="7.33203125" bestFit="1" customWidth="1"/>
    <col min="4" max="4" width="17" bestFit="1" customWidth="1"/>
    <col min="5" max="5" width="9.6640625" bestFit="1" customWidth="1"/>
    <col min="6" max="6" width="9" bestFit="1" customWidth="1"/>
    <col min="7" max="7" width="10.6640625" bestFit="1" customWidth="1"/>
    <col min="8" max="8" width="10.33203125" customWidth="1"/>
    <col min="9" max="9" width="5.6640625" bestFit="1" customWidth="1"/>
  </cols>
  <sheetData>
    <row r="1" spans="1:9" x14ac:dyDescent="0.2">
      <c r="A1" s="3" t="s">
        <v>3</v>
      </c>
      <c r="B1" s="3" t="s">
        <v>4</v>
      </c>
      <c r="C1" s="3" t="s">
        <v>42</v>
      </c>
      <c r="D1" s="3" t="s">
        <v>21</v>
      </c>
      <c r="E1" s="3" t="s">
        <v>22</v>
      </c>
      <c r="F1" s="3" t="s">
        <v>43</v>
      </c>
      <c r="G1" s="3" t="s">
        <v>44</v>
      </c>
      <c r="H1" s="3" t="s">
        <v>9</v>
      </c>
      <c r="I1" s="3" t="s">
        <v>10</v>
      </c>
    </row>
    <row r="2" spans="1:9" x14ac:dyDescent="0.2">
      <c r="A2">
        <v>0.2</v>
      </c>
      <c r="B2" t="s">
        <v>15</v>
      </c>
      <c r="C2" t="s">
        <v>45</v>
      </c>
      <c r="D2" t="s">
        <v>1</v>
      </c>
      <c r="E2" t="s">
        <v>23</v>
      </c>
      <c r="F2" t="s">
        <v>12</v>
      </c>
      <c r="G2" t="s">
        <v>50</v>
      </c>
      <c r="H2" t="s">
        <v>51</v>
      </c>
    </row>
    <row r="3" spans="1:9" x14ac:dyDescent="0.2">
      <c r="A3">
        <v>0.4</v>
      </c>
      <c r="B3" t="s">
        <v>15</v>
      </c>
      <c r="C3" t="s">
        <v>46</v>
      </c>
      <c r="D3" t="s">
        <v>1</v>
      </c>
      <c r="E3" t="s">
        <v>19</v>
      </c>
      <c r="F3" t="s">
        <v>12</v>
      </c>
      <c r="G3" t="s">
        <v>50</v>
      </c>
      <c r="H3" t="s">
        <v>51</v>
      </c>
    </row>
    <row r="4" spans="1:9" x14ac:dyDescent="0.2">
      <c r="A4">
        <v>0.25</v>
      </c>
      <c r="B4" t="s">
        <v>15</v>
      </c>
      <c r="C4" t="s">
        <v>47</v>
      </c>
      <c r="D4" t="s">
        <v>1</v>
      </c>
      <c r="E4" t="s">
        <v>24</v>
      </c>
      <c r="F4" t="s">
        <v>16</v>
      </c>
      <c r="G4" t="s">
        <v>50</v>
      </c>
      <c r="H4" t="s">
        <v>51</v>
      </c>
    </row>
    <row r="5" spans="1:9" x14ac:dyDescent="0.2">
      <c r="A5">
        <v>0.05</v>
      </c>
      <c r="B5" t="s">
        <v>15</v>
      </c>
      <c r="C5" t="s">
        <v>47</v>
      </c>
      <c r="D5" t="s">
        <v>1</v>
      </c>
      <c r="E5" t="s">
        <v>24</v>
      </c>
      <c r="F5" t="s">
        <v>20</v>
      </c>
      <c r="G5" t="s">
        <v>50</v>
      </c>
      <c r="H5" t="s">
        <v>51</v>
      </c>
    </row>
    <row r="6" spans="1:9" x14ac:dyDescent="0.2">
      <c r="A6">
        <v>0.04</v>
      </c>
      <c r="B6" t="s">
        <v>15</v>
      </c>
      <c r="C6" t="s">
        <v>48</v>
      </c>
      <c r="D6" t="s">
        <v>25</v>
      </c>
      <c r="E6" t="s">
        <v>26</v>
      </c>
      <c r="G6" t="s">
        <v>50</v>
      </c>
      <c r="H6" t="s">
        <v>51</v>
      </c>
    </row>
    <row r="7" spans="1:9" x14ac:dyDescent="0.2">
      <c r="A7">
        <v>0.06</v>
      </c>
      <c r="B7" t="s">
        <v>15</v>
      </c>
      <c r="C7" t="s">
        <v>49</v>
      </c>
      <c r="D7" t="s">
        <v>25</v>
      </c>
      <c r="E7" t="s">
        <v>27</v>
      </c>
      <c r="G7" t="s">
        <v>50</v>
      </c>
      <c r="H7" t="s">
        <v>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"/>
  <sheetViews>
    <sheetView zoomScale="166" workbookViewId="0">
      <selection activeCell="D2" sqref="D2"/>
    </sheetView>
  </sheetViews>
  <sheetFormatPr baseColWidth="10" defaultColWidth="8.83203125" defaultRowHeight="15" x14ac:dyDescent="0.2"/>
  <cols>
    <col min="1" max="1" width="8" bestFit="1" customWidth="1"/>
    <col min="2" max="2" width="6" bestFit="1" customWidth="1"/>
    <col min="3" max="3" width="7.33203125" bestFit="1" customWidth="1"/>
    <col min="4" max="4" width="17" bestFit="1" customWidth="1"/>
    <col min="5" max="5" width="9.6640625" bestFit="1" customWidth="1"/>
    <col min="6" max="6" width="9" bestFit="1" customWidth="1"/>
    <col min="7" max="7" width="10.6640625" bestFit="1" customWidth="1"/>
    <col min="8" max="8" width="9.5" bestFit="1" customWidth="1"/>
    <col min="9" max="9" width="5.6640625" bestFit="1" customWidth="1"/>
  </cols>
  <sheetData>
    <row r="1" spans="1:9" x14ac:dyDescent="0.2">
      <c r="A1" s="4" t="s">
        <v>3</v>
      </c>
      <c r="B1" s="4" t="s">
        <v>4</v>
      </c>
      <c r="C1" s="4" t="s">
        <v>42</v>
      </c>
      <c r="D1" s="4" t="s">
        <v>21</v>
      </c>
      <c r="E1" s="4" t="s">
        <v>22</v>
      </c>
      <c r="F1" s="4" t="s">
        <v>43</v>
      </c>
      <c r="G1" s="4" t="s">
        <v>44</v>
      </c>
      <c r="H1" s="4" t="s">
        <v>9</v>
      </c>
      <c r="I1" s="4" t="s">
        <v>10</v>
      </c>
    </row>
    <row r="2" spans="1:9" x14ac:dyDescent="0.2">
      <c r="A2">
        <v>0.2</v>
      </c>
      <c r="B2" t="s">
        <v>15</v>
      </c>
      <c r="C2" t="s">
        <v>53</v>
      </c>
      <c r="D2" t="s">
        <v>1</v>
      </c>
      <c r="E2" t="s">
        <v>24</v>
      </c>
      <c r="F2" t="s">
        <v>16</v>
      </c>
      <c r="G2" t="s">
        <v>52</v>
      </c>
      <c r="H2" t="s">
        <v>51</v>
      </c>
    </row>
    <row r="3" spans="1:9" x14ac:dyDescent="0.2">
      <c r="A3">
        <v>0.35</v>
      </c>
      <c r="B3" t="s">
        <v>15</v>
      </c>
      <c r="C3" t="s">
        <v>53</v>
      </c>
      <c r="D3" t="s">
        <v>1</v>
      </c>
      <c r="E3" t="s">
        <v>24</v>
      </c>
      <c r="F3" t="s">
        <v>20</v>
      </c>
      <c r="G3" t="s">
        <v>50</v>
      </c>
      <c r="H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</vt:lpstr>
      <vt:lpstr>Regions Clusters</vt:lpstr>
      <vt:lpstr>Sectors Clusters</vt:lpstr>
      <vt:lpstr>DB units</vt:lpstr>
      <vt:lpstr>Total outputs</vt:lpstr>
      <vt:lpstr>Trades</vt:lpstr>
      <vt:lpstr>Exclusions</vt:lpstr>
      <vt:lpstr>Tolerances</vt:lpstr>
      <vt:lpstr>new_ind</vt:lpstr>
      <vt:lpstr>new_ser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2026-04-27T12:41:31Z</dcterms:created>
  <dcterms:modified xsi:type="dcterms:W3CDTF">2026-05-01T10:19:24Z</dcterms:modified>
</cp:coreProperties>
</file>