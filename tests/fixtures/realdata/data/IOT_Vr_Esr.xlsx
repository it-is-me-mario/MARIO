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IOT/Vr_Esr/"/>
    </mc:Choice>
  </mc:AlternateContent>
  <xr:revisionPtr revIDLastSave="285" documentId="13_ncr:1_{05F70081-5B9D-1E4E-9738-57E127D853E6}" xr6:coauthVersionLast="47" xr6:coauthVersionMax="47" xr10:uidLastSave="{528F937C-F84A-F644-A085-27CF1D7278A4}"/>
  <bookViews>
    <workbookView xWindow="15120" yWindow="660" windowWidth="15120" windowHeight="17660" xr2:uid="{A60AD164-D7AE-4C5F-8AD3-4BD33F42E611}"/>
  </bookViews>
  <sheets>
    <sheet name="flows" sheetId="2" r:id="rId1"/>
    <sheet name="uni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 a="1"/>
  <c r="D16" i="2" s="1"/>
  <c r="J6" i="2"/>
  <c r="J5" i="2"/>
  <c r="J4" i="2"/>
  <c r="J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<sst xmlns="http://schemas.openxmlformats.org/spreadsheetml/2006/main" count="84" uniqueCount="14">
  <si>
    <t>Sector</t>
  </si>
  <si>
    <t>Factor of production</t>
  </si>
  <si>
    <t>EUR</t>
  </si>
  <si>
    <t>Satellite account</t>
  </si>
  <si>
    <t>ton</t>
  </si>
  <si>
    <t>r1</t>
  </si>
  <si>
    <t>r2</t>
  </si>
  <si>
    <t>s1</t>
  </si>
  <si>
    <t>s2</t>
  </si>
  <si>
    <t>unit</t>
  </si>
  <si>
    <t>CO2</t>
  </si>
  <si>
    <t>taxes</t>
  </si>
  <si>
    <t>capital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</si>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</sst>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4" borderId="0" xfId="0" applyFill="1" applyAlignment="1">
      <alignment vertical="center" wrapText="1"/>
    </xf>
    <xf numFmtId="1" fontId="0" fillId="5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38AF-549F-493E-B46A-C532EAB9B498}">
  <dimension ref="A1:J27"/>
  <sheetViews>
    <sheetView tabSelected="1" zoomScale="180" zoomScaleNormal="180" workbookViewId="0">
      <selection activeCell="A18" sqref="A18"/>
    </sheetView>
  </sheetViews>
  <sheetFormatPr baseColWidth="10" defaultColWidth="8.83203125" defaultRowHeight="15" x14ac:dyDescent="0.2"/>
  <cols>
    <col min="1" max="1" width="2.83203125" bestFit="1" customWidth="1"/>
    <col min="2" max="2" width="3" bestFit="1" customWidth="1"/>
    <col min="3" max="3" width="6.33203125" customWidth="1"/>
    <col min="4" max="7" width="6.33203125" bestFit="1" customWidth="1"/>
    <col min="8" max="9" width="4.6640625" customWidth="1"/>
  </cols>
  <sheetData>
    <row r="1" spans="1:10" x14ac:dyDescent="0.2">
      <c r="D1" s="1" t="s">
        <v>5</v>
      </c>
      <c r="E1" s="1" t="s">
        <v>5</v>
      </c>
      <c r="F1" s="1" t="s">
        <v>6</v>
      </c>
      <c r="G1" s="1" t="s">
        <v>6</v>
      </c>
      <c r="H1" s="1" t="s">
        <v>5</v>
      </c>
      <c r="I1" s="1" t="s">
        <v>6</v>
      </c>
    </row>
    <row r="2" spans="1:10" x14ac:dyDescent="0.2">
      <c r="D2" s="1" t="s">
        <v>7</v>
      </c>
      <c r="E2" s="1" t="s">
        <v>8</v>
      </c>
      <c r="F2" s="1" t="s">
        <v>7</v>
      </c>
      <c r="G2" s="1" t="s">
        <v>8</v>
      </c>
      <c r="H2" s="1" t="s">
        <v>13</v>
      </c>
      <c r="I2" s="1" t="s">
        <v>13</v>
      </c>
    </row>
    <row r="3" spans="1:10" x14ac:dyDescent="0.2">
      <c r="A3" s="1" t="s">
        <v>5</v>
      </c>
      <c r="B3" s="1" t="s">
        <v>7</v>
      </c>
      <c r="C3" s="1"/>
      <c r="D3" s="2">
        <v>20</v>
      </c>
      <c r="E3" s="2">
        <v>15</v>
      </c>
      <c r="F3" s="2">
        <v>4</v>
      </c>
      <c r="G3" s="2">
        <v>5</v>
      </c>
      <c r="H3" s="3">
        <v>15</v>
      </c>
      <c r="I3" s="3">
        <v>21</v>
      </c>
      <c r="J3">
        <f>SUM(D3:I3)</f>
        <v>80</v>
      </c>
    </row>
    <row r="4" spans="1:10" x14ac:dyDescent="0.2">
      <c r="A4" s="1" t="s">
        <v>5</v>
      </c>
      <c r="B4" s="1" t="s">
        <v>8</v>
      </c>
      <c r="C4" s="1"/>
      <c r="D4" s="2">
        <v>10</v>
      </c>
      <c r="E4" s="2">
        <v>54</v>
      </c>
      <c r="F4" s="2">
        <v>5</v>
      </c>
      <c r="G4" s="2">
        <v>5</v>
      </c>
      <c r="H4" s="3">
        <v>20</v>
      </c>
      <c r="I4" s="3">
        <v>36</v>
      </c>
      <c r="J4">
        <f>SUM(D4:I4)</f>
        <v>130</v>
      </c>
    </row>
    <row r="5" spans="1:10" x14ac:dyDescent="0.2">
      <c r="A5" s="1" t="s">
        <v>6</v>
      </c>
      <c r="B5" s="1" t="s">
        <v>7</v>
      </c>
      <c r="C5" s="1"/>
      <c r="D5" s="2">
        <v>5</v>
      </c>
      <c r="E5" s="2">
        <v>5</v>
      </c>
      <c r="F5" s="2">
        <v>18</v>
      </c>
      <c r="G5" s="2">
        <v>11</v>
      </c>
      <c r="H5" s="4">
        <v>15</v>
      </c>
      <c r="I5" s="4">
        <v>19</v>
      </c>
      <c r="J5">
        <f>SUM(D5:I5)</f>
        <v>73</v>
      </c>
    </row>
    <row r="6" spans="1:10" x14ac:dyDescent="0.2">
      <c r="A6" s="1" t="s">
        <v>6</v>
      </c>
      <c r="B6" s="1" t="s">
        <v>8</v>
      </c>
      <c r="C6" s="1"/>
      <c r="D6" s="2">
        <v>3</v>
      </c>
      <c r="E6" s="2">
        <v>5</v>
      </c>
      <c r="F6" s="2">
        <v>9</v>
      </c>
      <c r="G6" s="2">
        <v>41</v>
      </c>
      <c r="H6" s="4">
        <v>35</v>
      </c>
      <c r="I6" s="4">
        <v>30</v>
      </c>
      <c r="J6">
        <f>SUM(D6:I6)</f>
        <v>123</v>
      </c>
    </row>
    <row r="7" spans="1:10" x14ac:dyDescent="0.2">
      <c r="A7" s="1" t="s">
        <v>5</v>
      </c>
      <c r="C7" s="1" t="s">
        <v>11</v>
      </c>
      <c r="D7" s="5">
        <v>7</v>
      </c>
      <c r="E7" s="5">
        <v>18</v>
      </c>
      <c r="F7" s="5">
        <v>16</v>
      </c>
      <c r="G7" s="5">
        <v>21</v>
      </c>
      <c r="H7" s="6">
        <v>0</v>
      </c>
      <c r="I7" s="6">
        <v>0</v>
      </c>
    </row>
    <row r="8" spans="1:10" x14ac:dyDescent="0.2">
      <c r="A8" s="1" t="s">
        <v>5</v>
      </c>
      <c r="C8" s="1" t="s">
        <v>12</v>
      </c>
      <c r="D8" s="5">
        <v>22</v>
      </c>
      <c r="E8" s="5">
        <v>10</v>
      </c>
      <c r="F8" s="5">
        <v>10</v>
      </c>
      <c r="G8" s="5">
        <v>12</v>
      </c>
      <c r="H8" s="6">
        <v>0</v>
      </c>
      <c r="I8" s="6">
        <v>0</v>
      </c>
    </row>
    <row r="9" spans="1:10" x14ac:dyDescent="0.2">
      <c r="A9" s="1" t="s">
        <v>6</v>
      </c>
      <c r="C9" s="1" t="s">
        <v>11</v>
      </c>
      <c r="D9" s="5">
        <v>9</v>
      </c>
      <c r="E9" s="5">
        <v>10</v>
      </c>
      <c r="F9" s="5">
        <v>4</v>
      </c>
      <c r="G9" s="5">
        <v>8</v>
      </c>
      <c r="H9" s="6">
        <v>0</v>
      </c>
      <c r="I9" s="6">
        <v>0</v>
      </c>
    </row>
    <row r="10" spans="1:10" x14ac:dyDescent="0.2">
      <c r="A10" s="1" t="s">
        <v>6</v>
      </c>
      <c r="C10" s="1" t="s">
        <v>12</v>
      </c>
      <c r="D10" s="5">
        <v>4</v>
      </c>
      <c r="E10" s="5">
        <v>13</v>
      </c>
      <c r="F10" s="5">
        <v>7</v>
      </c>
      <c r="G10" s="5">
        <v>20</v>
      </c>
      <c r="H10" s="6">
        <v>0</v>
      </c>
      <c r="I10" s="6">
        <v>0</v>
      </c>
    </row>
    <row r="11" spans="1:10" x14ac:dyDescent="0.2">
      <c r="A11" s="1" t="s">
        <v>5</v>
      </c>
      <c r="B11" s="1" t="s">
        <v>7</v>
      </c>
      <c r="C11" s="1" t="s">
        <v>10</v>
      </c>
      <c r="D11" s="8">
        <v>6</v>
      </c>
      <c r="E11" s="8">
        <v>0</v>
      </c>
      <c r="F11" s="8">
        <v>13</v>
      </c>
      <c r="G11" s="8">
        <v>3</v>
      </c>
      <c r="H11" s="7">
        <v>1</v>
      </c>
      <c r="I11" s="7">
        <v>0</v>
      </c>
    </row>
    <row r="12" spans="1:10" x14ac:dyDescent="0.2">
      <c r="A12" s="1" t="s">
        <v>5</v>
      </c>
      <c r="B12" s="1" t="s">
        <v>8</v>
      </c>
      <c r="C12" s="1" t="s">
        <v>10</v>
      </c>
      <c r="D12" s="8">
        <v>7</v>
      </c>
      <c r="E12" s="8">
        <v>2</v>
      </c>
      <c r="F12" s="8">
        <v>2</v>
      </c>
      <c r="G12" s="8">
        <v>3</v>
      </c>
      <c r="H12" s="7">
        <v>2</v>
      </c>
      <c r="I12" s="7">
        <v>0</v>
      </c>
    </row>
    <row r="13" spans="1:10" x14ac:dyDescent="0.2">
      <c r="A13" s="1" t="s">
        <v>6</v>
      </c>
      <c r="B13" s="1" t="s">
        <v>7</v>
      </c>
      <c r="C13" s="1" t="s">
        <v>10</v>
      </c>
      <c r="D13" s="8">
        <v>10</v>
      </c>
      <c r="E13" s="8">
        <v>8</v>
      </c>
      <c r="F13" s="8">
        <v>3</v>
      </c>
      <c r="G13" s="8">
        <v>2</v>
      </c>
      <c r="H13" s="7">
        <v>1</v>
      </c>
      <c r="I13" s="7">
        <v>0</v>
      </c>
    </row>
    <row r="14" spans="1:10" x14ac:dyDescent="0.2">
      <c r="A14" s="1" t="s">
        <v>6</v>
      </c>
      <c r="B14" s="1" t="s">
        <v>8</v>
      </c>
      <c r="C14" s="1" t="s">
        <v>10</v>
      </c>
      <c r="D14" s="8">
        <v>10</v>
      </c>
      <c r="E14" s="8">
        <v>1</v>
      </c>
      <c r="F14" s="8">
        <v>7</v>
      </c>
      <c r="G14" s="8">
        <v>4</v>
      </c>
      <c r="H14" s="7">
        <v>0</v>
      </c>
      <c r="I14" s="7">
        <v>0</v>
      </c>
    </row>
    <row r="16" spans="1:10" x14ac:dyDescent="0.2">
      <c r="A16" s="1" t="s">
        <v>5</v>
      </c>
      <c r="B16" s="1" t="s">
        <v>7</v>
      </c>
      <c r="C16" s="1"/>
      <c r="D16" s="9" cm="1">
        <f t="array" ref="D16:G27">MMULT(D3:G14,MINVERSE(_xlfn.MUNIT(4)*J3:J6))</f>
        <v>0.25</v>
      </c>
      <c r="E16" s="9">
        <v>0.11538461538461539</v>
      </c>
      <c r="F16" s="9">
        <v>5.4794520547945202E-2</v>
      </c>
      <c r="G16" s="9">
        <v>4.0650406504065047E-2</v>
      </c>
    </row>
    <row r="17" spans="1:7" x14ac:dyDescent="0.2">
      <c r="A17" s="1" t="s">
        <v>5</v>
      </c>
      <c r="B17" s="1" t="s">
        <v>8</v>
      </c>
      <c r="C17" s="1"/>
      <c r="D17" s="9">
        <v>0.125</v>
      </c>
      <c r="E17" s="9">
        <v>0.41538461538461541</v>
      </c>
      <c r="F17" s="10">
        <v>6.8493150684931503E-2</v>
      </c>
      <c r="G17" s="10">
        <v>4.0650406504065047E-2</v>
      </c>
    </row>
    <row r="18" spans="1:7" x14ac:dyDescent="0.2">
      <c r="A18" s="1" t="s">
        <v>6</v>
      </c>
      <c r="B18" s="1" t="s">
        <v>7</v>
      </c>
      <c r="C18" s="1"/>
      <c r="D18" s="9">
        <v>6.25E-2</v>
      </c>
      <c r="E18" s="9">
        <v>3.8461538461538464E-2</v>
      </c>
      <c r="F18" s="10">
        <v>0.24657534246575341</v>
      </c>
      <c r="G18" s="10">
        <v>8.9430894308943104E-2</v>
      </c>
    </row>
    <row r="19" spans="1:7" x14ac:dyDescent="0.2">
      <c r="A19" s="1" t="s">
        <v>6</v>
      </c>
      <c r="B19" s="1" t="s">
        <v>8</v>
      </c>
      <c r="C19" s="1"/>
      <c r="D19" s="9">
        <v>3.7500000000000006E-2</v>
      </c>
      <c r="E19" s="9">
        <v>3.8461538461538464E-2</v>
      </c>
      <c r="F19" s="10">
        <v>0.12328767123287671</v>
      </c>
      <c r="G19" s="10">
        <v>0.33333333333333337</v>
      </c>
    </row>
    <row r="20" spans="1:7" x14ac:dyDescent="0.2">
      <c r="A20" s="1" t="s">
        <v>5</v>
      </c>
      <c r="C20" s="1" t="s">
        <v>11</v>
      </c>
      <c r="D20" s="9">
        <v>8.7500000000000008E-2</v>
      </c>
      <c r="E20" s="9">
        <v>0.13846153846153847</v>
      </c>
      <c r="F20" s="10">
        <v>0.21917808219178081</v>
      </c>
      <c r="G20" s="10">
        <v>0.17073170731707318</v>
      </c>
    </row>
    <row r="21" spans="1:7" x14ac:dyDescent="0.2">
      <c r="A21" s="1" t="s">
        <v>5</v>
      </c>
      <c r="C21" s="1" t="s">
        <v>12</v>
      </c>
      <c r="D21" s="9">
        <v>0.27500000000000002</v>
      </c>
      <c r="E21" s="9">
        <v>7.6923076923076927E-2</v>
      </c>
      <c r="F21" s="10">
        <v>0.13698630136986301</v>
      </c>
      <c r="G21" s="10">
        <v>9.7560975609756101E-2</v>
      </c>
    </row>
    <row r="22" spans="1:7" x14ac:dyDescent="0.2">
      <c r="A22" s="1" t="s">
        <v>6</v>
      </c>
      <c r="C22" s="1" t="s">
        <v>11</v>
      </c>
      <c r="D22" s="9">
        <v>0.1125</v>
      </c>
      <c r="E22" s="9">
        <v>7.6923076923076927E-2</v>
      </c>
      <c r="F22" s="10">
        <v>5.4794520547945202E-2</v>
      </c>
      <c r="G22" s="10">
        <v>6.5040650406504072E-2</v>
      </c>
    </row>
    <row r="23" spans="1:7" x14ac:dyDescent="0.2">
      <c r="A23" s="1" t="s">
        <v>6</v>
      </c>
      <c r="C23" s="1" t="s">
        <v>12</v>
      </c>
      <c r="D23" s="9">
        <v>0.05</v>
      </c>
      <c r="E23" s="9">
        <v>0.1</v>
      </c>
      <c r="F23" s="9">
        <v>9.5890410958904104E-2</v>
      </c>
      <c r="G23" s="9">
        <v>0.16260162601626019</v>
      </c>
    </row>
    <row r="24" spans="1:7" x14ac:dyDescent="0.2">
      <c r="A24" s="1" t="s">
        <v>5</v>
      </c>
      <c r="B24" s="1" t="s">
        <v>7</v>
      </c>
      <c r="C24" s="1" t="s">
        <v>10</v>
      </c>
      <c r="D24" s="9">
        <v>7.5000000000000011E-2</v>
      </c>
      <c r="E24" s="9">
        <v>0</v>
      </c>
      <c r="F24" s="9">
        <v>0.17808219178082191</v>
      </c>
      <c r="G24" s="9">
        <v>2.4390243902439025E-2</v>
      </c>
    </row>
    <row r="25" spans="1:7" x14ac:dyDescent="0.2">
      <c r="A25" s="1" t="s">
        <v>5</v>
      </c>
      <c r="B25" s="1" t="s">
        <v>8</v>
      </c>
      <c r="C25" s="1" t="s">
        <v>10</v>
      </c>
      <c r="D25" s="9">
        <v>8.7500000000000008E-2</v>
      </c>
      <c r="E25" s="9">
        <v>1.5384615384615385E-2</v>
      </c>
      <c r="F25" s="9">
        <v>2.7397260273972601E-2</v>
      </c>
      <c r="G25" s="9">
        <v>2.4390243902439025E-2</v>
      </c>
    </row>
    <row r="26" spans="1:7" x14ac:dyDescent="0.2">
      <c r="A26" s="1" t="s">
        <v>6</v>
      </c>
      <c r="B26" s="1" t="s">
        <v>7</v>
      </c>
      <c r="C26" s="1" t="s">
        <v>10</v>
      </c>
      <c r="D26" s="9">
        <v>0.125</v>
      </c>
      <c r="E26" s="9">
        <v>6.1538461538461542E-2</v>
      </c>
      <c r="F26" s="9">
        <v>4.1095890410958902E-2</v>
      </c>
      <c r="G26" s="9">
        <v>1.6260162601626018E-2</v>
      </c>
    </row>
    <row r="27" spans="1:7" x14ac:dyDescent="0.2">
      <c r="A27" s="1" t="s">
        <v>6</v>
      </c>
      <c r="B27" s="1" t="s">
        <v>8</v>
      </c>
      <c r="C27" s="1" t="s">
        <v>10</v>
      </c>
      <c r="D27" s="9">
        <v>0.125</v>
      </c>
      <c r="E27" s="9">
        <v>7.6923076923076927E-3</v>
      </c>
      <c r="F27" s="9">
        <v>9.5890410958904104E-2</v>
      </c>
      <c r="G27" s="9">
        <v>3.2520325203252036E-2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3557-5CAA-49D1-9DA8-F23143EDD4E0}">
  <dimension ref="A1:C6"/>
  <sheetViews>
    <sheetView zoomScale="215" workbookViewId="0">
      <selection activeCell="C17" sqref="C17"/>
    </sheetView>
  </sheetViews>
  <sheetFormatPr baseColWidth="10" defaultColWidth="8.83203125" defaultRowHeight="15" x14ac:dyDescent="0.2"/>
  <cols>
    <col min="1" max="1" width="17" bestFit="1" customWidth="1"/>
  </cols>
  <sheetData>
    <row r="1" spans="1:3" x14ac:dyDescent="0.2">
      <c r="C1" s="1" t="s">
        <v>9</v>
      </c>
    </row>
    <row r="2" spans="1:3" x14ac:dyDescent="0.2">
      <c r="A2" s="1" t="s">
        <v>0</v>
      </c>
      <c r="B2" s="1" t="s">
        <v>7</v>
      </c>
      <c r="C2" t="s">
        <v>2</v>
      </c>
    </row>
    <row r="3" spans="1:3" x14ac:dyDescent="0.2">
      <c r="A3" s="1" t="s">
        <v>0</v>
      </c>
      <c r="B3" s="1" t="s">
        <v>8</v>
      </c>
      <c r="C3" t="s">
        <v>2</v>
      </c>
    </row>
    <row r="4" spans="1:3" x14ac:dyDescent="0.2">
      <c r="A4" s="1" t="s">
        <v>1</v>
      </c>
      <c r="B4" s="1" t="s">
        <v>11</v>
      </c>
      <c r="C4" t="s">
        <v>2</v>
      </c>
    </row>
    <row r="5" spans="1:3" x14ac:dyDescent="0.2">
      <c r="A5" s="1" t="s">
        <v>1</v>
      </c>
      <c r="B5" s="1" t="s">
        <v>12</v>
      </c>
      <c r="C5" t="s">
        <v>2</v>
      </c>
    </row>
    <row r="6" spans="1:3" x14ac:dyDescent="0.2">
      <c r="A6" s="1" t="s">
        <v>3</v>
      </c>
      <c r="B6" s="1" t="s">
        <v>10</v>
      </c>
      <c r="C6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EB3D6C-DB9E-4405-B5A2-0ABDA9FAF372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5d44ae6a-e145-4c9d-94e7-ddf9cc58067e"/>
    <ds:schemaRef ds:uri="http://purl.org/dc/terms/"/>
    <ds:schemaRef ds:uri="e67e9a88-35e1-4b39-8da9-a609eb30828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4D67D18-15D2-409D-8352-0A2CA6E63F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DBB5EA-7B9F-4173-B7B0-F0F1C24B4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Citterio</dc:creator>
  <cp:lastModifiedBy>Lorenzo Rinaldi</cp:lastModifiedBy>
  <dcterms:created xsi:type="dcterms:W3CDTF">2026-03-16T11:49:43Z</dcterms:created>
  <dcterms:modified xsi:type="dcterms:W3CDTF">2026-03-25T22:27:42Z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